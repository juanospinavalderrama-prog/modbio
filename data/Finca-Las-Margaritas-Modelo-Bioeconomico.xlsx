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. Aplicada a la Lactancia\Cacharreo\24-05-26\"/>
    </mc:Choice>
  </mc:AlternateContent>
  <xr:revisionPtr revIDLastSave="0" documentId="13_ncr:1_{BEE16620-3DFA-4084-A653-3AB6C272A040}" xr6:coauthVersionLast="47" xr6:coauthVersionMax="47" xr10:uidLastSave="{00000000-0000-0000-0000-000000000000}"/>
  <bookViews>
    <workbookView xWindow="-108" yWindow="-108" windowWidth="23256" windowHeight="12456" tabRatio="500" firstSheet="6" activeTab="7" xr2:uid="{00000000-000D-0000-FFFF-FFFF00000000}"/>
  </bookViews>
  <sheets>
    <sheet name="Resumen Monte Carlo" sheetId="6" r:id="rId1"/>
    <sheet name="1. Demografía" sheetId="1" r:id="rId2"/>
    <sheet name="2. Producción" sheetId="2" r:id="rId3"/>
    <sheet name="3. Reproducción" sheetId="3" r:id="rId4"/>
    <sheet name="4. Salud y Mastitis" sheetId="4" r:id="rId5"/>
    <sheet name="Parámetros base" sheetId="7" r:id="rId6"/>
    <sheet name="Variables salida" sheetId="8" r:id="rId7"/>
    <sheet name="Curva " sheetId="9" r:id="rId8"/>
    <sheet name="LISTAS" sheetId="5" state="hidden" r:id="rId9"/>
  </sheets>
  <definedNames>
    <definedName name="_xlnm._FilterDatabase" localSheetId="1" hidden="1">'1. Demografía'!$A$1:$T$84</definedName>
    <definedName name="_xlnm._FilterDatabase" localSheetId="2" hidden="1">'2. Producción'!$A$1:$P$69</definedName>
    <definedName name="_xlnm._FilterDatabase" localSheetId="3" hidden="1">'3. Reproducción'!$A$1:$O$69</definedName>
    <definedName name="_xlnm._FilterDatabase" localSheetId="4" hidden="1">'4. Salud y Mastitis'!$A$1:$N$9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8" l="1"/>
  <c r="H27" i="8"/>
  <c r="H26" i="8"/>
  <c r="E28" i="8"/>
  <c r="E27" i="8"/>
  <c r="E26" i="8"/>
  <c r="E25" i="8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2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102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2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169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34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06" i="9"/>
  <c r="G99" i="9"/>
  <c r="G100" i="9"/>
  <c r="G101" i="9"/>
  <c r="G102" i="9"/>
  <c r="G103" i="9"/>
  <c r="G104" i="9"/>
  <c r="G105" i="9"/>
  <c r="G98" i="9"/>
  <c r="E24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2" i="9"/>
  <c r="B20" i="9"/>
  <c r="B19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E23" i="7"/>
  <c r="E17" i="8" s="1"/>
  <c r="E15" i="8"/>
  <c r="E16" i="8"/>
  <c r="B11" i="9" a="1"/>
  <c r="B11" i="9" s="1"/>
  <c r="B10" i="9"/>
  <c r="B9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2" i="9"/>
  <c r="F3" i="2" a="1"/>
  <c r="F3" i="2" s="1"/>
  <c r="G3" i="2"/>
  <c r="H3" i="2"/>
  <c r="F4" i="2" a="1"/>
  <c r="F4" i="2"/>
  <c r="G4" i="2"/>
  <c r="H4" i="2"/>
  <c r="F5" i="2" a="1"/>
  <c r="F5" i="2"/>
  <c r="G5" i="2"/>
  <c r="H5" i="2"/>
  <c r="F6" i="2" a="1"/>
  <c r="F6" i="2" s="1"/>
  <c r="G6" i="2"/>
  <c r="H6" i="2"/>
  <c r="F7" i="2" a="1"/>
  <c r="F7" i="2"/>
  <c r="G7" i="2"/>
  <c r="H7" i="2"/>
  <c r="F8" i="2" a="1"/>
  <c r="F8" i="2"/>
  <c r="G8" i="2"/>
  <c r="H8" i="2"/>
  <c r="F9" i="2" a="1"/>
  <c r="F9" i="2" s="1"/>
  <c r="G9" i="2"/>
  <c r="H9" i="2"/>
  <c r="F10" i="2" a="1"/>
  <c r="F10" i="2"/>
  <c r="G10" i="2"/>
  <c r="H10" i="2"/>
  <c r="F11" i="2" a="1"/>
  <c r="F11" i="2"/>
  <c r="G11" i="2"/>
  <c r="H11" i="2"/>
  <c r="F12" i="2" a="1"/>
  <c r="F12" i="2" s="1"/>
  <c r="G12" i="2"/>
  <c r="H12" i="2"/>
  <c r="F13" i="2" a="1"/>
  <c r="F13" i="2"/>
  <c r="G13" i="2"/>
  <c r="H13" i="2"/>
  <c r="F14" i="2" a="1"/>
  <c r="F14" i="2"/>
  <c r="G14" i="2"/>
  <c r="H14" i="2"/>
  <c r="F15" i="2" a="1"/>
  <c r="F15" i="2" s="1"/>
  <c r="G15" i="2"/>
  <c r="H15" i="2"/>
  <c r="F16" i="2" a="1"/>
  <c r="F16" i="2"/>
  <c r="G16" i="2"/>
  <c r="H16" i="2"/>
  <c r="F17" i="2" a="1"/>
  <c r="F17" i="2"/>
  <c r="G17" i="2"/>
  <c r="H17" i="2"/>
  <c r="F18" i="2" a="1"/>
  <c r="F18" i="2" s="1"/>
  <c r="G18" i="2"/>
  <c r="H18" i="2"/>
  <c r="F19" i="2" a="1"/>
  <c r="F19" i="2"/>
  <c r="G19" i="2"/>
  <c r="H19" i="2"/>
  <c r="F20" i="2" a="1"/>
  <c r="F20" i="2"/>
  <c r="G20" i="2"/>
  <c r="H20" i="2"/>
  <c r="F21" i="2" a="1"/>
  <c r="F21" i="2" s="1"/>
  <c r="G21" i="2"/>
  <c r="H21" i="2"/>
  <c r="F22" i="2" a="1"/>
  <c r="F22" i="2"/>
  <c r="G22" i="2"/>
  <c r="H22" i="2"/>
  <c r="F23" i="2" a="1"/>
  <c r="F23" i="2"/>
  <c r="G23" i="2"/>
  <c r="H23" i="2"/>
  <c r="F24" i="2" a="1"/>
  <c r="F24" i="2" s="1"/>
  <c r="G24" i="2"/>
  <c r="H24" i="2"/>
  <c r="F25" i="2" a="1"/>
  <c r="F25" i="2"/>
  <c r="G25" i="2"/>
  <c r="H25" i="2"/>
  <c r="F26" i="2" a="1"/>
  <c r="F26" i="2"/>
  <c r="G26" i="2"/>
  <c r="H26" i="2"/>
  <c r="F27" i="2" a="1"/>
  <c r="F27" i="2" s="1"/>
  <c r="G27" i="2"/>
  <c r="H27" i="2"/>
  <c r="F28" i="2" a="1"/>
  <c r="F28" i="2"/>
  <c r="G28" i="2"/>
  <c r="H28" i="2"/>
  <c r="F29" i="2" a="1"/>
  <c r="F29" i="2"/>
  <c r="G29" i="2"/>
  <c r="H29" i="2"/>
  <c r="F30" i="2" a="1"/>
  <c r="F30" i="2" s="1"/>
  <c r="G30" i="2"/>
  <c r="H30" i="2"/>
  <c r="F31" i="2" a="1"/>
  <c r="F31" i="2"/>
  <c r="G31" i="2"/>
  <c r="H31" i="2"/>
  <c r="F32" i="2" a="1"/>
  <c r="F32" i="2"/>
  <c r="G32" i="2"/>
  <c r="H32" i="2"/>
  <c r="F33" i="2" a="1"/>
  <c r="F33" i="2" s="1"/>
  <c r="G33" i="2"/>
  <c r="H33" i="2"/>
  <c r="F34" i="2" a="1"/>
  <c r="F34" i="2" s="1"/>
  <c r="G34" i="2"/>
  <c r="H34" i="2"/>
  <c r="F35" i="2" a="1"/>
  <c r="F35" i="2"/>
  <c r="G35" i="2"/>
  <c r="H35" i="2"/>
  <c r="F36" i="2" a="1"/>
  <c r="F36" i="2" s="1"/>
  <c r="G36" i="2"/>
  <c r="H36" i="2"/>
  <c r="F37" i="2" a="1"/>
  <c r="F37" i="2"/>
  <c r="G37" i="2"/>
  <c r="H37" i="2"/>
  <c r="F38" i="2" a="1"/>
  <c r="F38" i="2"/>
  <c r="G38" i="2"/>
  <c r="H38" i="2"/>
  <c r="F39" i="2" a="1"/>
  <c r="F39" i="2" s="1"/>
  <c r="G39" i="2"/>
  <c r="H39" i="2"/>
  <c r="F40" i="2" a="1"/>
  <c r="F40" i="2"/>
  <c r="G40" i="2"/>
  <c r="H40" i="2"/>
  <c r="F41" i="2" a="1"/>
  <c r="F41" i="2"/>
  <c r="G41" i="2"/>
  <c r="H41" i="2"/>
  <c r="F42" i="2" a="1"/>
  <c r="F42" i="2" s="1"/>
  <c r="G42" i="2"/>
  <c r="H42" i="2"/>
  <c r="F43" i="2" a="1"/>
  <c r="F43" i="2"/>
  <c r="G43" i="2"/>
  <c r="H43" i="2"/>
  <c r="F44" i="2" a="1"/>
  <c r="F44" i="2"/>
  <c r="G44" i="2"/>
  <c r="H44" i="2"/>
  <c r="F45" i="2" a="1"/>
  <c r="F45" i="2" s="1"/>
  <c r="G45" i="2"/>
  <c r="H45" i="2"/>
  <c r="F46" i="2" a="1"/>
  <c r="F46" i="2"/>
  <c r="G46" i="2"/>
  <c r="H46" i="2"/>
  <c r="F47" i="2" a="1"/>
  <c r="F47" i="2"/>
  <c r="G47" i="2"/>
  <c r="H47" i="2"/>
  <c r="F48" i="2" a="1"/>
  <c r="F48" i="2" s="1"/>
  <c r="G48" i="2"/>
  <c r="H48" i="2"/>
  <c r="F49" i="2" a="1"/>
  <c r="F49" i="2"/>
  <c r="G49" i="2"/>
  <c r="H49" i="2"/>
  <c r="F50" i="2" a="1"/>
  <c r="F50" i="2"/>
  <c r="G50" i="2"/>
  <c r="H50" i="2"/>
  <c r="F51" i="2" a="1"/>
  <c r="F51" i="2" s="1"/>
  <c r="G51" i="2"/>
  <c r="H51" i="2"/>
  <c r="F52" i="2" a="1"/>
  <c r="F52" i="2"/>
  <c r="G52" i="2"/>
  <c r="H52" i="2"/>
  <c r="F53" i="2" a="1"/>
  <c r="F53" i="2"/>
  <c r="G53" i="2"/>
  <c r="H53" i="2"/>
  <c r="F54" i="2" a="1"/>
  <c r="F54" i="2" s="1"/>
  <c r="G54" i="2"/>
  <c r="H54" i="2"/>
  <c r="F55" i="2" a="1"/>
  <c r="F55" i="2"/>
  <c r="G55" i="2"/>
  <c r="H55" i="2"/>
  <c r="F56" i="2" a="1"/>
  <c r="F56" i="2"/>
  <c r="G56" i="2"/>
  <c r="H56" i="2"/>
  <c r="F57" i="2" a="1"/>
  <c r="F57" i="2" s="1"/>
  <c r="G57" i="2"/>
  <c r="H57" i="2"/>
  <c r="F58" i="2" a="1"/>
  <c r="F58" i="2" s="1"/>
  <c r="G58" i="2"/>
  <c r="H58" i="2"/>
  <c r="F59" i="2" a="1"/>
  <c r="F59" i="2"/>
  <c r="G59" i="2"/>
  <c r="H59" i="2"/>
  <c r="F60" i="2" a="1"/>
  <c r="F60" i="2" s="1"/>
  <c r="G60" i="2"/>
  <c r="H60" i="2"/>
  <c r="F61" i="2" a="1"/>
  <c r="F61" i="2"/>
  <c r="G61" i="2"/>
  <c r="H61" i="2"/>
  <c r="F62" i="2" a="1"/>
  <c r="F62" i="2" s="1"/>
  <c r="G62" i="2"/>
  <c r="H62" i="2"/>
  <c r="F63" i="2" a="1"/>
  <c r="F63" i="2" s="1"/>
  <c r="G63" i="2"/>
  <c r="H63" i="2"/>
  <c r="F64" i="2" a="1"/>
  <c r="F64" i="2" s="1"/>
  <c r="G64" i="2"/>
  <c r="H64" i="2"/>
  <c r="F65" i="2" a="1"/>
  <c r="F65" i="2" s="1"/>
  <c r="G65" i="2"/>
  <c r="H65" i="2"/>
  <c r="F66" i="2" a="1"/>
  <c r="F66" i="2" s="1"/>
  <c r="G66" i="2"/>
  <c r="H66" i="2"/>
  <c r="F67" i="2" a="1"/>
  <c r="F67" i="2"/>
  <c r="G67" i="2"/>
  <c r="H67" i="2"/>
  <c r="F68" i="2" a="1"/>
  <c r="F68" i="2" s="1"/>
  <c r="G68" i="2"/>
  <c r="H68" i="2"/>
  <c r="F69" i="2" a="1"/>
  <c r="F69" i="2" s="1"/>
  <c r="G69" i="2"/>
  <c r="H69" i="2"/>
  <c r="F2" i="2" a="1"/>
  <c r="F2" i="2" s="1"/>
  <c r="G2" i="2"/>
  <c r="H2" i="2"/>
  <c r="F22" i="7"/>
  <c r="E22" i="7"/>
  <c r="F21" i="7"/>
  <c r="E21" i="7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2" i="2"/>
  <c r="E20" i="7"/>
  <c r="E12" i="8"/>
  <c r="E11" i="8"/>
  <c r="E13" i="8" s="1"/>
  <c r="E6" i="8"/>
  <c r="E4" i="8"/>
  <c r="F25" i="7"/>
  <c r="E25" i="7"/>
  <c r="F24" i="7"/>
  <c r="E24" i="7"/>
  <c r="F20" i="7"/>
  <c r="F18" i="7"/>
  <c r="E18" i="7"/>
  <c r="F17" i="7"/>
  <c r="E17" i="7"/>
  <c r="E28" i="7"/>
  <c r="E26" i="7"/>
  <c r="E14" i="7"/>
  <c r="F8" i="7"/>
  <c r="E8" i="7"/>
  <c r="F7" i="7"/>
  <c r="E7" i="7"/>
  <c r="F6" i="7"/>
  <c r="E6" i="7"/>
  <c r="F5" i="7"/>
  <c r="E5" i="7"/>
  <c r="E9" i="7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2" i="1"/>
  <c r="E18" i="8" l="1"/>
  <c r="E5" i="8"/>
  <c r="E8" i="8" s="1"/>
  <c r="E19" i="8" l="1"/>
  <c r="E22" i="8"/>
  <c r="E21" i="8"/>
  <c r="E20" i="8"/>
  <c r="E10" i="8"/>
  <c r="E14" i="8" s="1"/>
  <c r="E9" i="8"/>
  <c r="E7" i="8"/>
  <c r="E9" i="4"/>
  <c r="E8" i="4"/>
  <c r="E7" i="4"/>
  <c r="E6" i="4"/>
  <c r="E5" i="4"/>
  <c r="E4" i="4"/>
  <c r="E3" i="4"/>
  <c r="E2" i="4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3" i="8" l="1"/>
  <c r="F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<sst xmlns="http://schemas.openxmlformats.org/spreadsheetml/2006/main" count="1009" uniqueCount="399">
  <si>
    <t>ID Animal</t>
  </si>
  <si>
    <t>Nombre</t>
  </si>
  <si>
    <t>Raza</t>
  </si>
  <si>
    <t>Categoría</t>
  </si>
  <si>
    <t>Fecha nacimiento</t>
  </si>
  <si>
    <t>Edad (meses)</t>
  </si>
  <si>
    <t>Núm. Parto</t>
  </si>
  <si>
    <t>Peso vivo (kg)</t>
  </si>
  <si>
    <t>a (Gompertz)</t>
  </si>
  <si>
    <t>b (Gompertz)</t>
  </si>
  <si>
    <t>c (Gompertz)</t>
  </si>
  <si>
    <t>Edad 1er servicio (mes)</t>
  </si>
  <si>
    <t>Peso 1er servicio (kg)</t>
  </si>
  <si>
    <t>Intervalo 1er serv.-concep. novillas (d)</t>
  </si>
  <si>
    <t>Edad 1er parto (mes)</t>
  </si>
  <si>
    <t>Estado</t>
  </si>
  <si>
    <t>Fecha de salida</t>
  </si>
  <si>
    <t>Motivo salida / Observación</t>
  </si>
  <si>
    <t>Sally</t>
  </si>
  <si>
    <t>H+J-</t>
  </si>
  <si>
    <t>Vaca lactante</t>
  </si>
  <si>
    <t>Activa</t>
  </si>
  <si>
    <t>Berta</t>
  </si>
  <si>
    <t>Mona</t>
  </si>
  <si>
    <t>Luna</t>
  </si>
  <si>
    <t>Luci</t>
  </si>
  <si>
    <t>Mariposa</t>
  </si>
  <si>
    <t>Rola</t>
  </si>
  <si>
    <t>Prisma</t>
  </si>
  <si>
    <t>Margarita</t>
  </si>
  <si>
    <t>Lola</t>
  </si>
  <si>
    <t>Paca</t>
  </si>
  <si>
    <t>Mucca</t>
  </si>
  <si>
    <t>Blanquita</t>
  </si>
  <si>
    <t>Pinta</t>
  </si>
  <si>
    <t>Lucera</t>
  </si>
  <si>
    <t>Claraboya</t>
  </si>
  <si>
    <t>Milka</t>
  </si>
  <si>
    <t>Manchita</t>
  </si>
  <si>
    <t>Castaña</t>
  </si>
  <si>
    <t>Amapola</t>
  </si>
  <si>
    <t>Azucena</t>
  </si>
  <si>
    <t>Nina</t>
  </si>
  <si>
    <t>Flor</t>
  </si>
  <si>
    <t>Perla</t>
  </si>
  <si>
    <t>Princesa</t>
  </si>
  <si>
    <t>Chispa</t>
  </si>
  <si>
    <t>Estrella</t>
  </si>
  <si>
    <t>Canela</t>
  </si>
  <si>
    <t>Dulce</t>
  </si>
  <si>
    <t>Cereza</t>
  </si>
  <si>
    <t>Nube</t>
  </si>
  <si>
    <t>Gala</t>
  </si>
  <si>
    <t>Trufa</t>
  </si>
  <si>
    <t>Bonita</t>
  </si>
  <si>
    <t>Morena</t>
  </si>
  <si>
    <t>Rubia</t>
  </si>
  <si>
    <t>Miel</t>
  </si>
  <si>
    <t>Campana</t>
  </si>
  <si>
    <t>Paloma</t>
  </si>
  <si>
    <t>Dalia</t>
  </si>
  <si>
    <t>Aurora</t>
  </si>
  <si>
    <t>Violeta</t>
  </si>
  <si>
    <t>Brisa</t>
  </si>
  <si>
    <t>Tierra</t>
  </si>
  <si>
    <t>Gaviota</t>
  </si>
  <si>
    <t>Mora</t>
  </si>
  <si>
    <t>Sabana</t>
  </si>
  <si>
    <t>Nevada</t>
  </si>
  <si>
    <t>Alondra</t>
  </si>
  <si>
    <t>Camelia</t>
  </si>
  <si>
    <t>Gitana</t>
  </si>
  <si>
    <t>Toscana</t>
  </si>
  <si>
    <t>Frida</t>
  </si>
  <si>
    <t>Kiara</t>
  </si>
  <si>
    <t>Malva</t>
  </si>
  <si>
    <t>Oliva</t>
  </si>
  <si>
    <t>Roma</t>
  </si>
  <si>
    <t>Selva</t>
  </si>
  <si>
    <t>Tundra</t>
  </si>
  <si>
    <t>Úrsula</t>
  </si>
  <si>
    <t>Venus</t>
  </si>
  <si>
    <t>Wendy</t>
  </si>
  <si>
    <t>Ximena</t>
  </si>
  <si>
    <t>Yara</t>
  </si>
  <si>
    <t>Zafira</t>
  </si>
  <si>
    <t>Amelia</t>
  </si>
  <si>
    <t>Bianca</t>
  </si>
  <si>
    <t>Celeste</t>
  </si>
  <si>
    <t>Dafne</t>
  </si>
  <si>
    <t>Novilla preñada</t>
  </si>
  <si>
    <t>Elisa</t>
  </si>
  <si>
    <t>Fiona</t>
  </si>
  <si>
    <t>Greta</t>
  </si>
  <si>
    <t>Helena</t>
  </si>
  <si>
    <t>Iris</t>
  </si>
  <si>
    <t>Jacinta</t>
  </si>
  <si>
    <t>Kora</t>
  </si>
  <si>
    <t>Lía</t>
  </si>
  <si>
    <t>Maia</t>
  </si>
  <si>
    <t>Noa</t>
  </si>
  <si>
    <t>Orión</t>
  </si>
  <si>
    <t>Petra</t>
  </si>
  <si>
    <t>Quilla</t>
  </si>
  <si>
    <t>Núm. Lactancia</t>
  </si>
  <si>
    <t>Fecha parto</t>
  </si>
  <si>
    <t>Fecha secado</t>
  </si>
  <si>
    <t>Longitud lactancia (d)</t>
  </si>
  <si>
    <t>Producción total (kg)</t>
  </si>
  <si>
    <t>Producción al pico (kg/d)</t>
  </si>
  <si>
    <t>Día del pico</t>
  </si>
  <si>
    <t>a (Wood)</t>
  </si>
  <si>
    <t>b (Wood)</t>
  </si>
  <si>
    <t>c (Wood)</t>
  </si>
  <si>
    <t>% Grasa</t>
  </si>
  <si>
    <t>% Proteína</t>
  </si>
  <si>
    <t>% Lactosa+minerales</t>
  </si>
  <si>
    <t>Observaciones</t>
  </si>
  <si>
    <t>Fecha parto previo</t>
  </si>
  <si>
    <t>Fecha 1er servicio</t>
  </si>
  <si>
    <t>Fecha concepción</t>
  </si>
  <si>
    <t>Fecha siguiente parto</t>
  </si>
  <si>
    <t>Días abiertos (d)</t>
  </si>
  <si>
    <t>Intervalo 1er serv.-concep. (d)</t>
  </si>
  <si>
    <t>Duración preñez (d)</t>
  </si>
  <si>
    <t>Intervalo entre partos (d)</t>
  </si>
  <si>
    <t>Núm. Servicios</t>
  </si>
  <si>
    <t>Tipo de servicio</t>
  </si>
  <si>
    <t>Resultado</t>
  </si>
  <si>
    <t>1</t>
  </si>
  <si>
    <t>IA Sexada</t>
  </si>
  <si>
    <t>Preñada</t>
  </si>
  <si>
    <t>3</t>
  </si>
  <si>
    <t>IA Convencional</t>
  </si>
  <si>
    <t>4</t>
  </si>
  <si>
    <t>2</t>
  </si>
  <si>
    <t>Fecha evento</t>
  </si>
  <si>
    <t>Día de lactancia</t>
  </si>
  <si>
    <t>Tipo evento</t>
  </si>
  <si>
    <t>Severidad</t>
  </si>
  <si>
    <t>Días tratamiento</t>
  </si>
  <si>
    <t>Costo veterinario (USD)</t>
  </si>
  <si>
    <t>Mastitis clínica</t>
  </si>
  <si>
    <t>Moderada</t>
  </si>
  <si>
    <t>Recuperada</t>
  </si>
  <si>
    <t>Severa</t>
  </si>
  <si>
    <t>Leve</t>
  </si>
  <si>
    <t>Razas</t>
  </si>
  <si>
    <t>Categoría animal</t>
  </si>
  <si>
    <t>Estado reproductivo</t>
  </si>
  <si>
    <t>Lactancia (núm. Parto)</t>
  </si>
  <si>
    <t>Sí/No</t>
  </si>
  <si>
    <t>Distribución</t>
  </si>
  <si>
    <t>Holstein</t>
  </si>
  <si>
    <t>Ternera</t>
  </si>
  <si>
    <t>Vacía</t>
  </si>
  <si>
    <t>Sí</t>
  </si>
  <si>
    <t>Normal</t>
  </si>
  <si>
    <t>Jersey</t>
  </si>
  <si>
    <t>Novilla de levante</t>
  </si>
  <si>
    <t>En servicio</t>
  </si>
  <si>
    <t>No</t>
  </si>
  <si>
    <t>Discreta</t>
  </si>
  <si>
    <t>Preñada confirmada</t>
  </si>
  <si>
    <t>Monta natural</t>
  </si>
  <si>
    <t>Exponencial</t>
  </si>
  <si>
    <t>H-J+</t>
  </si>
  <si>
    <t>Preñada por confirmar</t>
  </si>
  <si>
    <t>Transferencia de embriones</t>
  </si>
  <si>
    <t>Valor extremo</t>
  </si>
  <si>
    <t>F1 HxJ</t>
  </si>
  <si>
    <t>Desecho</t>
  </si>
  <si>
    <t>Repetidora</t>
  </si>
  <si>
    <t>Constante</t>
  </si>
  <si>
    <t>Muerta</t>
  </si>
  <si>
    <t>Anestro</t>
  </si>
  <si>
    <t>7+</t>
  </si>
  <si>
    <t>FINCA LAS MARGARITAS - Simulación actualizada con Cuadro 1 del artículo</t>
  </si>
  <si>
    <t>Generado: 24/05/2026 | Vacas adultas: 68 | Novillas reemplazo: 14 (20% con TDIv+TMv no modificados)</t>
  </si>
  <si>
    <t>Bloque</t>
  </si>
  <si>
    <t>Código</t>
  </si>
  <si>
    <t>Variable</t>
  </si>
  <si>
    <t>Base usada</t>
  </si>
  <si>
    <t>Dispersión usada</t>
  </si>
  <si>
    <t>Media simulada</t>
  </si>
  <si>
    <t>Dispersión simulada</t>
  </si>
  <si>
    <t>n</t>
  </si>
  <si>
    <t>Fuente / comentario</t>
  </si>
  <si>
    <t>Crecimiento</t>
  </si>
  <si>
    <t>Ag</t>
  </si>
  <si>
    <t>Base imagen; dispersión Cuadro 1</t>
  </si>
  <si>
    <t>Bg</t>
  </si>
  <si>
    <t>Cg</t>
  </si>
  <si>
    <t>Base imagen; dispersión Cuadro 1; t en meses para edad de servicio</t>
  </si>
  <si>
    <t>PIA</t>
  </si>
  <si>
    <t>Peso a 1er servicio</t>
  </si>
  <si>
    <t>Hato</t>
  </si>
  <si>
    <t>VA</t>
  </si>
  <si>
    <t>Vacas adultas</t>
  </si>
  <si>
    <t>Constante de la imagen</t>
  </si>
  <si>
    <t>Producción</t>
  </si>
  <si>
    <t>a</t>
  </si>
  <si>
    <t>b</t>
  </si>
  <si>
    <t>c</t>
  </si>
  <si>
    <t>DLAC</t>
  </si>
  <si>
    <t>Longitud de lactancia</t>
  </si>
  <si>
    <t>Base imagen; dispersión Cuadro 1; truncada a rango plausible</t>
  </si>
  <si>
    <t>Composición</t>
  </si>
  <si>
    <t>%GR</t>
  </si>
  <si>
    <t>Grasa en leche</t>
  </si>
  <si>
    <t>%PR</t>
  </si>
  <si>
    <t>Proteína en leche</t>
  </si>
  <si>
    <t>%LM</t>
  </si>
  <si>
    <t>Lactosa + minerales en leche</t>
  </si>
  <si>
    <t>Base imagen; constante</t>
  </si>
  <si>
    <t>Reemplazo</t>
  </si>
  <si>
    <t>TDIv+TMv</t>
  </si>
  <si>
    <t>Tasa esperada de reemplazo adulta</t>
  </si>
  <si>
    <t>Parámetros no solicitados se mantuvieron: TDIv + TMv</t>
  </si>
  <si>
    <t>Reproducción novillas</t>
  </si>
  <si>
    <t>IAC</t>
  </si>
  <si>
    <t>Intervalo 1er servicio-concepción</t>
  </si>
  <si>
    <t>Soporte discreto Cuadro 1: 0, 21, 42, 63 días</t>
  </si>
  <si>
    <t>Salud</t>
  </si>
  <si>
    <t>IMC</t>
  </si>
  <si>
    <t>Incidencia mastitis clínica</t>
  </si>
  <si>
    <t>No solicitado; conservado de la planilla anterior</t>
  </si>
  <si>
    <t>Parámetros modificados según solicitud</t>
  </si>
  <si>
    <t>Nota</t>
  </si>
  <si>
    <t>Se cambiaron únicamente los parámetros listados por el usuario: Gompertz a/b/c, PIA, VA, Wood a/b/c, DLAC, % grasa, % proteína y % lactosa+minerales.</t>
  </si>
  <si>
    <t>Los valores base provienen de la imagen adjunta; las dispersiones usadas para esos parámetros provienen del Cuadro 1 del artículo adjunto.</t>
  </si>
  <si>
    <t>El número de novillas se recalculó con la tasa de reemplazo que ya tenía la planilla anterior porque TDIv y TMv no fueron parte de los parámetros solicitados para cambio.</t>
  </si>
  <si>
    <t>Todos los animales se mantienen como H+J- y las novillas se conservan como preñadas.</t>
  </si>
  <si>
    <t>k (Gompertz)</t>
  </si>
  <si>
    <t>Edad al registro</t>
  </si>
  <si>
    <t>k semanal (Wood)</t>
  </si>
  <si>
    <t>Finca Las Margaritas - Parámetros Bosque húmedo premontano</t>
  </si>
  <si>
    <t>Parámetros de entrada del modelo</t>
  </si>
  <si>
    <t>Parámetros</t>
  </si>
  <si>
    <t>Unidades</t>
  </si>
  <si>
    <t>Base</t>
  </si>
  <si>
    <t>Dispersión</t>
  </si>
  <si>
    <t>Novillas de reemplazo:</t>
  </si>
  <si>
    <t>parámetro</t>
  </si>
  <si>
    <t>kg</t>
  </si>
  <si>
    <t>Intervalo 1er serv.-concep.</t>
  </si>
  <si>
    <t>d</t>
  </si>
  <si>
    <t>-</t>
  </si>
  <si>
    <t>Desecho involuntario (reemp)</t>
  </si>
  <si>
    <t>%</t>
  </si>
  <si>
    <t>TDIr</t>
  </si>
  <si>
    <t>Desecho voluntario (reemp)</t>
  </si>
  <si>
    <t>TDVr</t>
  </si>
  <si>
    <t>Hato en producción:</t>
  </si>
  <si>
    <t>Costante</t>
  </si>
  <si>
    <t>Desecho involuntario</t>
  </si>
  <si>
    <t>TDIv</t>
  </si>
  <si>
    <t>Mortalidad</t>
  </si>
  <si>
    <t>TMv</t>
  </si>
  <si>
    <t>Días abiertos</t>
  </si>
  <si>
    <t>DA</t>
  </si>
  <si>
    <t>Extremo</t>
  </si>
  <si>
    <t>Duración de preñez</t>
  </si>
  <si>
    <t>DP</t>
  </si>
  <si>
    <t>Rendimiento en canal</t>
  </si>
  <si>
    <t>RC</t>
  </si>
  <si>
    <t>Primer día de mastitis</t>
  </si>
  <si>
    <t>DMC</t>
  </si>
  <si>
    <t>Parámetros económicos:</t>
  </si>
  <si>
    <t>Precio grasa o proteína</t>
  </si>
  <si>
    <t>COP kg</t>
  </si>
  <si>
    <t>$KGP</t>
  </si>
  <si>
    <t>Precio lactosa + minerales</t>
  </si>
  <si>
    <t>$LM</t>
  </si>
  <si>
    <t>Precio carne en canal</t>
  </si>
  <si>
    <t>$CAR</t>
  </si>
  <si>
    <t>Precio novilla preñada</t>
  </si>
  <si>
    <t>COP</t>
  </si>
  <si>
    <t>$NOV</t>
  </si>
  <si>
    <t>Costo concentrado</t>
  </si>
  <si>
    <t>$CON</t>
  </si>
  <si>
    <t>Costo novilla preñada</t>
  </si>
  <si>
    <t>$REM</t>
  </si>
  <si>
    <t>Costos fijos vaca adulta</t>
  </si>
  <si>
    <t>$VAC</t>
  </si>
  <si>
    <t>Costos por administración</t>
  </si>
  <si>
    <t>$AD</t>
  </si>
  <si>
    <t xml:space="preserve">c (Gompertz) </t>
  </si>
  <si>
    <t>Variables de salida del modelo</t>
  </si>
  <si>
    <t>Fórmulas de cálulo</t>
  </si>
  <si>
    <t>Promedio</t>
  </si>
  <si>
    <t>D.E.</t>
  </si>
  <si>
    <t>Vacas lactantes</t>
  </si>
  <si>
    <t>VL</t>
  </si>
  <si>
    <t>VA×(1-TDIv/100)-VA×TMv/100</t>
  </si>
  <si>
    <t>Hembras reemplazo</t>
  </si>
  <si>
    <t>HR</t>
  </si>
  <si>
    <t>VL×0.5× (1-TDIr/100) ×24/ EPA</t>
  </si>
  <si>
    <t>Vacas desc. involuntario</t>
  </si>
  <si>
    <t>VDI</t>
  </si>
  <si>
    <t>VA×((TDIv+TMv)/100)</t>
  </si>
  <si>
    <t>Vacas desc. voluntario</t>
  </si>
  <si>
    <t>VDV</t>
  </si>
  <si>
    <t>SI(NE&gt;0,NE-NV,0), SI=Condicional</t>
  </si>
  <si>
    <t>Novillas excedentes</t>
  </si>
  <si>
    <t>NE</t>
  </si>
  <si>
    <t>SI(HR&gt;VDI,HR-VDI,0), SI=Condicional</t>
  </si>
  <si>
    <t>Novillas a venta</t>
  </si>
  <si>
    <t>NV</t>
  </si>
  <si>
    <t>NE×TDVr/100</t>
  </si>
  <si>
    <t>Reemplazo anual</t>
  </si>
  <si>
    <t>TR</t>
  </si>
  <si>
    <t>HR/VA×100</t>
  </si>
  <si>
    <t>Edad 1er servicio</t>
  </si>
  <si>
    <t>mes</t>
  </si>
  <si>
    <t>EIA</t>
  </si>
  <si>
    <t>(ln(ln(PIA/Ag)/-1)-Bg)/(-1×Cg), ln=logaritmo natural</t>
  </si>
  <si>
    <t>GDP nacim-1er serv.</t>
  </si>
  <si>
    <t>kg d</t>
  </si>
  <si>
    <t>GDP</t>
  </si>
  <si>
    <t>(PIA-Wt=0)/(EIA×30.4), Wt=0 peso estimado a nacimiento</t>
  </si>
  <si>
    <t>Edad 1er parto</t>
  </si>
  <si>
    <t>EPA</t>
  </si>
  <si>
    <t>EIA+(IAC+DP)/30.4</t>
  </si>
  <si>
    <t>Vida productiva</t>
  </si>
  <si>
    <t>VP</t>
  </si>
  <si>
    <t>100/TR×12</t>
  </si>
  <si>
    <t>Leche esperada</t>
  </si>
  <si>
    <t>kg vaca</t>
  </si>
  <si>
    <t>PLn</t>
  </si>
  <si>
    <t>S (a×t^b×e^-c×t)/(DA+DP)×365, t=1 hasta DLAC</t>
  </si>
  <si>
    <t>Leche al pico</t>
  </si>
  <si>
    <t>kd d</t>
  </si>
  <si>
    <t>PP</t>
  </si>
  <si>
    <t>(a×(b/c)^b ×e^-c×(b/c))</t>
  </si>
  <si>
    <t>Días secos</t>
  </si>
  <si>
    <t>DS</t>
  </si>
  <si>
    <t>(DP+DA)-DLAC</t>
  </si>
  <si>
    <t>Reducción por mastitis</t>
  </si>
  <si>
    <t>RM</t>
  </si>
  <si>
    <t>((S (a×t^b ×e^-c×t )×%R)/(DA+DP) ×365) × (IMC/100×VL))/VL</t>
  </si>
  <si>
    <t>Leche sin mastitis</t>
  </si>
  <si>
    <t>PLsm</t>
  </si>
  <si>
    <t>PLn-RM</t>
  </si>
  <si>
    <t>Grasa</t>
  </si>
  <si>
    <t>PGR</t>
  </si>
  <si>
    <t>(S (a×t^b ×e^-c×t )×%GR)/(DA+DP) ×365)-(RM×%GR/100)</t>
  </si>
  <si>
    <t>Proteína</t>
  </si>
  <si>
    <t>PPR</t>
  </si>
  <si>
    <t>(S (a×t^b ×e^-c×t )×%PR)/(DA+DP) ×365)-(RM×%PR/100)</t>
  </si>
  <si>
    <t>Lactosa + minerales</t>
  </si>
  <si>
    <t>PLM</t>
  </si>
  <si>
    <t>Sólidos totales</t>
  </si>
  <si>
    <t>kg hato</t>
  </si>
  <si>
    <t>PSOL</t>
  </si>
  <si>
    <t>(PGR+PPR+PLM)×VL</t>
  </si>
  <si>
    <t>Carne canal</t>
  </si>
  <si>
    <t>PCAR</t>
  </si>
  <si>
    <t>Consumo concentrado</t>
  </si>
  <si>
    <t>CON</t>
  </si>
  <si>
    <t>((S (a×t^b ×e^-c×t )×%AL×))/(DA+DP)×365)×VL</t>
  </si>
  <si>
    <t>$ hato</t>
  </si>
  <si>
    <t>IT</t>
  </si>
  <si>
    <t>(PGR+PPR)×VL×$KGP + PLM×$LM×VL+(NE-NV)×PCAR×$CAR+NV×$NOV</t>
  </si>
  <si>
    <t>CT</t>
  </si>
  <si>
    <t>[$CON×(CON+CON/3)]+(VL×$VAC)+(HR×$REM)+$AD</t>
  </si>
  <si>
    <t>$MB</t>
  </si>
  <si>
    <t>IT-CT</t>
  </si>
  <si>
    <t>Día</t>
  </si>
  <si>
    <t>Litros</t>
  </si>
  <si>
    <t>Día al pico</t>
  </si>
  <si>
    <t>Litros al pico</t>
  </si>
  <si>
    <t>Prod. Total</t>
  </si>
  <si>
    <t>User-Defined Model: y=a*x^b*exp(-c*x)</t>
  </si>
  <si>
    <t>Coefficient Data:</t>
  </si>
  <si>
    <t>a =</t>
  </si>
  <si>
    <t>b =</t>
  </si>
  <si>
    <t>c =</t>
  </si>
  <si>
    <t>d0-d7</t>
  </si>
  <si>
    <t>d8-d35</t>
  </si>
  <si>
    <t>d36-d70</t>
  </si>
  <si>
    <t>d71-DLAC</t>
  </si>
  <si>
    <t>Grasa (kg)</t>
  </si>
  <si>
    <t>Reducción por mastitis (kg)</t>
  </si>
  <si>
    <t>Proteína (kg)</t>
  </si>
  <si>
    <t>((PLn×%LM/100)/(DA+DP) ×365)-(RM×%LM/100)</t>
  </si>
  <si>
    <t>(Ag×%RC/100) × (NE-NV)</t>
  </si>
  <si>
    <t>Concentrado (kg)</t>
  </si>
  <si>
    <t>Consumo de concentrado</t>
  </si>
  <si>
    <t>d0-d100</t>
  </si>
  <si>
    <t>kg Leche</t>
  </si>
  <si>
    <t>kg Con</t>
  </si>
  <si>
    <t>Relación</t>
  </si>
  <si>
    <t>d101-d200</t>
  </si>
  <si>
    <t>d201-DLAC</t>
  </si>
  <si>
    <t>Ingresos COP</t>
  </si>
  <si>
    <t>Costos COP</t>
  </si>
  <si>
    <t>Margen bruto COP</t>
  </si>
  <si>
    <t>CURVA DE LACTANCIA PROMEDIO DEL HATO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</si>
</sst>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dd/mm/yyyy"/>
    <numFmt numFmtId="165" formatCode="0.0"/>
    <numFmt numFmtId="166" formatCode="#,##0.0"/>
    <numFmt numFmtId="167" formatCode="0.000"/>
    <numFmt numFmtId="168" formatCode="0.0000"/>
    <numFmt numFmtId="169" formatCode="\$#,##0.00"/>
    <numFmt numFmtId="170" formatCode="#,##0.0000"/>
    <numFmt numFmtId="171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theme="1"/>
      <name val="Calibri"/>
      <family val="2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1F4E78"/>
      <name val="Calibri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center" wrapText="1"/>
    </xf>
    <xf numFmtId="169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4" fillId="0" borderId="0" xfId="0" applyFont="1"/>
    <xf numFmtId="0" fontId="5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170" fontId="6" fillId="0" borderId="2" xfId="0" applyNumberFormat="1" applyFont="1" applyBorder="1" applyAlignment="1">
      <alignment horizontal="right" wrapText="1"/>
    </xf>
    <xf numFmtId="0" fontId="7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168" fontId="2" fillId="3" borderId="0" xfId="0" applyNumberFormat="1" applyFont="1" applyFill="1" applyAlignment="1">
      <alignment horizontal="right"/>
    </xf>
    <xf numFmtId="0" fontId="0" fillId="3" borderId="0" xfId="0" applyFill="1"/>
    <xf numFmtId="1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168" fontId="2" fillId="4" borderId="0" xfId="0" applyNumberFormat="1" applyFont="1" applyFill="1" applyAlignment="1">
      <alignment horizontal="right"/>
    </xf>
    <xf numFmtId="0" fontId="0" fillId="4" borderId="0" xfId="0" applyFill="1"/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8" fillId="0" borderId="0" xfId="0" applyFont="1" applyAlignment="1">
      <alignment horizontal="center"/>
    </xf>
    <xf numFmtId="1" fontId="0" fillId="0" borderId="0" xfId="0" applyNumberFormat="1"/>
    <xf numFmtId="167" fontId="0" fillId="0" borderId="0" xfId="0" applyNumberFormat="1"/>
    <xf numFmtId="3" fontId="0" fillId="0" borderId="0" xfId="0" applyNumberFormat="1"/>
    <xf numFmtId="0" fontId="0" fillId="0" borderId="0" xfId="0" quotePrefix="1" applyAlignment="1">
      <alignment horizontal="right"/>
    </xf>
    <xf numFmtId="2" fontId="0" fillId="0" borderId="0" xfId="0" applyNumberFormat="1"/>
    <xf numFmtId="168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9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171" fontId="0" fillId="0" borderId="3" xfId="1" applyNumberFormat="1" applyFont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2" customWidth="1"/>
    <col min="2" max="2" width="14" customWidth="1"/>
    <col min="3" max="3" width="34" customWidth="1"/>
    <col min="4" max="4" width="16" customWidth="1"/>
    <col min="5" max="7" width="18" customWidth="1"/>
    <col min="8" max="8" width="8" customWidth="1"/>
    <col min="9" max="9" width="64" customWidth="1"/>
  </cols>
  <sheetData>
    <row r="1" spans="1:9" ht="57.6" x14ac:dyDescent="0.3">
      <c r="A1" s="1" t="s">
        <v>177</v>
      </c>
    </row>
    <row r="2" spans="1:9" ht="14.4" x14ac:dyDescent="0.3">
      <c r="A2" s="12" t="s">
        <v>178</v>
      </c>
    </row>
    <row r="4" spans="1:9" ht="14.4" x14ac:dyDescent="0.3">
      <c r="A4" s="13" t="s">
        <v>179</v>
      </c>
      <c r="B4" s="13" t="s">
        <v>180</v>
      </c>
      <c r="C4" s="13" t="s">
        <v>181</v>
      </c>
      <c r="D4" s="13" t="s">
        <v>182</v>
      </c>
      <c r="E4" s="13" t="s">
        <v>183</v>
      </c>
      <c r="F4" s="13" t="s">
        <v>184</v>
      </c>
      <c r="G4" s="13" t="s">
        <v>185</v>
      </c>
      <c r="H4" s="13" t="s">
        <v>186</v>
      </c>
      <c r="I4" s="13" t="s">
        <v>187</v>
      </c>
    </row>
    <row r="5" spans="1:9" ht="14.4" x14ac:dyDescent="0.3">
      <c r="A5" s="14" t="s">
        <v>188</v>
      </c>
      <c r="B5" s="14" t="s">
        <v>189</v>
      </c>
      <c r="C5" s="14" t="s">
        <v>8</v>
      </c>
      <c r="D5" s="15">
        <v>487.4</v>
      </c>
      <c r="E5" s="15">
        <v>10</v>
      </c>
      <c r="F5" s="15">
        <v>487.39970588235298</v>
      </c>
      <c r="G5" s="15">
        <v>10.000283275179999</v>
      </c>
      <c r="H5" s="16">
        <v>68</v>
      </c>
      <c r="I5" s="14" t="s">
        <v>190</v>
      </c>
    </row>
    <row r="6" spans="1:9" ht="14.4" x14ac:dyDescent="0.3">
      <c r="A6" s="14" t="s">
        <v>188</v>
      </c>
      <c r="B6" s="14" t="s">
        <v>191</v>
      </c>
      <c r="C6" s="14" t="s">
        <v>9</v>
      </c>
      <c r="D6" s="15">
        <v>1.1000000000000001</v>
      </c>
      <c r="E6" s="17">
        <v>0.05</v>
      </c>
      <c r="F6" s="15">
        <v>1.0999705882352899</v>
      </c>
      <c r="G6" s="17">
        <v>4.9991930867767299E-2</v>
      </c>
      <c r="H6" s="16">
        <v>68</v>
      </c>
      <c r="I6" s="14" t="s">
        <v>190</v>
      </c>
    </row>
    <row r="7" spans="1:9" ht="14.4" x14ac:dyDescent="0.3">
      <c r="A7" s="14" t="s">
        <v>188</v>
      </c>
      <c r="B7" s="14" t="s">
        <v>192</v>
      </c>
      <c r="C7" s="14" t="s">
        <v>10</v>
      </c>
      <c r="D7" s="17">
        <v>0.1101</v>
      </c>
      <c r="E7" s="17">
        <v>5.0000000000000001E-3</v>
      </c>
      <c r="F7" s="17">
        <v>0.110101470588235</v>
      </c>
      <c r="G7" s="17">
        <v>5.0027602126616801E-3</v>
      </c>
      <c r="H7" s="16">
        <v>68</v>
      </c>
      <c r="I7" s="14" t="s">
        <v>193</v>
      </c>
    </row>
    <row r="8" spans="1:9" ht="14.4" x14ac:dyDescent="0.3">
      <c r="A8" s="14" t="s">
        <v>188</v>
      </c>
      <c r="B8" s="14" t="s">
        <v>194</v>
      </c>
      <c r="C8" s="14" t="s">
        <v>195</v>
      </c>
      <c r="D8" s="15">
        <v>270</v>
      </c>
      <c r="E8" s="15">
        <v>10</v>
      </c>
      <c r="F8" s="15">
        <v>270</v>
      </c>
      <c r="G8" s="15">
        <v>9.9641332095312691</v>
      </c>
      <c r="H8" s="16">
        <v>82</v>
      </c>
      <c r="I8" s="14" t="s">
        <v>190</v>
      </c>
    </row>
    <row r="9" spans="1:9" ht="14.4" x14ac:dyDescent="0.3">
      <c r="A9" s="14" t="s">
        <v>196</v>
      </c>
      <c r="B9" s="14" t="s">
        <v>197</v>
      </c>
      <c r="C9" s="14" t="s">
        <v>198</v>
      </c>
      <c r="D9" s="15">
        <v>68</v>
      </c>
      <c r="E9" s="15"/>
      <c r="F9" s="15">
        <v>68</v>
      </c>
      <c r="G9" s="15"/>
      <c r="H9" s="16">
        <v>1</v>
      </c>
      <c r="I9" s="14" t="s">
        <v>199</v>
      </c>
    </row>
    <row r="10" spans="1:9" ht="14.4" x14ac:dyDescent="0.3">
      <c r="A10" s="14" t="s">
        <v>200</v>
      </c>
      <c r="B10" s="14" t="s">
        <v>201</v>
      </c>
      <c r="C10" s="14" t="s">
        <v>111</v>
      </c>
      <c r="D10" s="15">
        <v>18.850000000000001</v>
      </c>
      <c r="E10" s="15">
        <v>4.5</v>
      </c>
      <c r="F10" s="15">
        <v>18.850058823529402</v>
      </c>
      <c r="G10" s="15">
        <v>4.5000422514844098</v>
      </c>
      <c r="H10" s="16">
        <v>68</v>
      </c>
      <c r="I10" s="14" t="s">
        <v>190</v>
      </c>
    </row>
    <row r="11" spans="1:9" ht="14.4" x14ac:dyDescent="0.3">
      <c r="A11" s="14" t="s">
        <v>200</v>
      </c>
      <c r="B11" s="14" t="s">
        <v>202</v>
      </c>
      <c r="C11" s="14" t="s">
        <v>112</v>
      </c>
      <c r="D11" s="17">
        <v>0.62</v>
      </c>
      <c r="E11" s="17">
        <v>5.0400000000000002E-3</v>
      </c>
      <c r="F11" s="17">
        <v>0.620000147058824</v>
      </c>
      <c r="G11" s="17">
        <v>5.0402847268090599E-3</v>
      </c>
      <c r="H11" s="16">
        <v>68</v>
      </c>
      <c r="I11" s="14" t="s">
        <v>190</v>
      </c>
    </row>
    <row r="12" spans="1:9" ht="14.4" x14ac:dyDescent="0.3">
      <c r="A12" s="14" t="s">
        <v>200</v>
      </c>
      <c r="B12" s="14" t="s">
        <v>203</v>
      </c>
      <c r="C12" s="14" t="s">
        <v>113</v>
      </c>
      <c r="D12" s="17">
        <v>0.13200000000000001</v>
      </c>
      <c r="E12" s="17">
        <v>7.6999999999999996E-4</v>
      </c>
      <c r="F12" s="17">
        <v>0.13199970588235299</v>
      </c>
      <c r="G12" s="17">
        <v>7.69415305412941E-4</v>
      </c>
      <c r="H12" s="16">
        <v>68</v>
      </c>
      <c r="I12" s="14" t="s">
        <v>190</v>
      </c>
    </row>
    <row r="13" spans="1:9" ht="14.4" x14ac:dyDescent="0.3">
      <c r="A13" s="14" t="s">
        <v>200</v>
      </c>
      <c r="B13" s="14" t="s">
        <v>204</v>
      </c>
      <c r="C13" s="14" t="s">
        <v>205</v>
      </c>
      <c r="D13" s="15">
        <v>305</v>
      </c>
      <c r="E13" s="15">
        <v>40</v>
      </c>
      <c r="F13" s="15">
        <v>305</v>
      </c>
      <c r="G13" s="15">
        <v>40.018652367532702</v>
      </c>
      <c r="H13" s="16">
        <v>68</v>
      </c>
      <c r="I13" s="14" t="s">
        <v>206</v>
      </c>
    </row>
    <row r="14" spans="1:9" ht="14.4" x14ac:dyDescent="0.3">
      <c r="A14" s="14" t="s">
        <v>207</v>
      </c>
      <c r="B14" s="14" t="s">
        <v>208</v>
      </c>
      <c r="C14" s="14" t="s">
        <v>209</v>
      </c>
      <c r="D14" s="15">
        <v>4.32</v>
      </c>
      <c r="E14" s="17">
        <v>0.65</v>
      </c>
      <c r="F14" s="15">
        <v>4.3202941176470597</v>
      </c>
      <c r="G14" s="17">
        <v>0.64978520122119998</v>
      </c>
      <c r="H14" s="16">
        <v>68</v>
      </c>
      <c r="I14" s="14" t="s">
        <v>190</v>
      </c>
    </row>
    <row r="15" spans="1:9" ht="14.4" x14ac:dyDescent="0.3">
      <c r="A15" s="14" t="s">
        <v>207</v>
      </c>
      <c r="B15" s="14" t="s">
        <v>210</v>
      </c>
      <c r="C15" s="14" t="s">
        <v>211</v>
      </c>
      <c r="D15" s="15">
        <v>3.5</v>
      </c>
      <c r="E15" s="17">
        <v>0.28000000000000003</v>
      </c>
      <c r="F15" s="15">
        <v>3.5004411764705901</v>
      </c>
      <c r="G15" s="17">
        <v>0.280044952806911</v>
      </c>
      <c r="H15" s="16">
        <v>68</v>
      </c>
      <c r="I15" s="14" t="s">
        <v>190</v>
      </c>
    </row>
    <row r="16" spans="1:9" ht="14.4" x14ac:dyDescent="0.3">
      <c r="A16" s="14" t="s">
        <v>207</v>
      </c>
      <c r="B16" s="14" t="s">
        <v>212</v>
      </c>
      <c r="C16" s="14" t="s">
        <v>213</v>
      </c>
      <c r="D16" s="15">
        <v>5.45</v>
      </c>
      <c r="E16" s="15"/>
      <c r="F16" s="15">
        <v>5.45</v>
      </c>
      <c r="G16" s="17">
        <v>0</v>
      </c>
      <c r="H16" s="16">
        <v>68</v>
      </c>
      <c r="I16" s="14" t="s">
        <v>214</v>
      </c>
    </row>
    <row r="17" spans="1:9" ht="14.4" x14ac:dyDescent="0.3">
      <c r="A17" s="14" t="s">
        <v>215</v>
      </c>
      <c r="B17" s="14" t="s">
        <v>216</v>
      </c>
      <c r="C17" s="14" t="s">
        <v>217</v>
      </c>
      <c r="D17" s="15">
        <v>20</v>
      </c>
      <c r="E17" s="15"/>
      <c r="F17" s="15">
        <v>20.588235294117599</v>
      </c>
      <c r="G17" s="15"/>
      <c r="H17" s="16">
        <v>14</v>
      </c>
      <c r="I17" s="14" t="s">
        <v>218</v>
      </c>
    </row>
    <row r="18" spans="1:9" ht="14.4" x14ac:dyDescent="0.3">
      <c r="A18" s="14" t="s">
        <v>219</v>
      </c>
      <c r="B18" s="14" t="s">
        <v>220</v>
      </c>
      <c r="C18" s="14" t="s">
        <v>221</v>
      </c>
      <c r="D18" s="15">
        <v>21</v>
      </c>
      <c r="E18" s="15" t="s">
        <v>162</v>
      </c>
      <c r="F18" s="15">
        <v>21</v>
      </c>
      <c r="G18" s="15">
        <v>20.176147379441002</v>
      </c>
      <c r="H18" s="16">
        <v>14</v>
      </c>
      <c r="I18" s="14" t="s">
        <v>222</v>
      </c>
    </row>
    <row r="19" spans="1:9" ht="14.4" x14ac:dyDescent="0.3">
      <c r="A19" s="14" t="s">
        <v>223</v>
      </c>
      <c r="B19" s="14" t="s">
        <v>224</v>
      </c>
      <c r="C19" s="14" t="s">
        <v>225</v>
      </c>
      <c r="D19" s="15">
        <v>12</v>
      </c>
      <c r="E19" s="15">
        <v>2</v>
      </c>
      <c r="F19" s="15">
        <v>11.764705882352899</v>
      </c>
      <c r="G19" s="15"/>
      <c r="H19" s="16">
        <v>8</v>
      </c>
      <c r="I19" s="14" t="s">
        <v>226</v>
      </c>
    </row>
    <row r="22" spans="1:9" ht="14.4" x14ac:dyDescent="0.3">
      <c r="A22" s="18" t="s">
        <v>227</v>
      </c>
    </row>
    <row r="23" spans="1:9" ht="172.8" x14ac:dyDescent="0.3">
      <c r="A23" s="19" t="s">
        <v>228</v>
      </c>
      <c r="B23" s="20" t="s">
        <v>229</v>
      </c>
    </row>
    <row r="24" spans="1:9" ht="172.8" x14ac:dyDescent="0.3">
      <c r="A24" s="19" t="s">
        <v>228</v>
      </c>
      <c r="B24" s="20" t="s">
        <v>230</v>
      </c>
    </row>
    <row r="25" spans="1:9" ht="187.2" x14ac:dyDescent="0.3">
      <c r="A25" s="19" t="s">
        <v>228</v>
      </c>
      <c r="B25" s="20" t="s">
        <v>231</v>
      </c>
    </row>
    <row r="26" spans="1:9" ht="115.2" x14ac:dyDescent="0.3">
      <c r="A26" s="19" t="s">
        <v>228</v>
      </c>
      <c r="B26" s="20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"/>
  <sheetViews>
    <sheetView zoomScaleNormal="100" workbookViewId="0">
      <pane ySplit="1" topLeftCell="A2" activePane="bottomLeft" state="frozen"/>
      <selection pane="bottomLeft" activeCell="A70" sqref="A70:XFD70"/>
    </sheetView>
  </sheetViews>
  <sheetFormatPr baseColWidth="10" defaultColWidth="13.33203125" defaultRowHeight="14.25" customHeight="1" x14ac:dyDescent="0.3"/>
  <sheetData>
    <row r="1" spans="1:20" ht="28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233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40" customFormat="1" ht="14.25" customHeight="1" x14ac:dyDescent="0.3">
      <c r="A2" s="31">
        <v>1</v>
      </c>
      <c r="B2" s="32" t="s">
        <v>18</v>
      </c>
      <c r="C2" s="33" t="s">
        <v>19</v>
      </c>
      <c r="D2" s="33" t="s">
        <v>20</v>
      </c>
      <c r="E2" s="34">
        <v>45311</v>
      </c>
      <c r="F2" s="35">
        <f t="shared" ref="F2:F33" ca="1" si="0">IFERROR(IF(E2="","",(TODAY()-E2)/30.4),"")</f>
        <v>28.157894736842106</v>
      </c>
      <c r="G2" s="35">
        <v>28.125</v>
      </c>
      <c r="H2" s="32">
        <v>1</v>
      </c>
      <c r="I2" s="36">
        <v>458</v>
      </c>
      <c r="J2" s="37">
        <v>476.66</v>
      </c>
      <c r="K2" s="38">
        <v>1.1040000000000001</v>
      </c>
      <c r="L2" s="39">
        <v>0.11459999999999999</v>
      </c>
      <c r="M2" s="38">
        <f>L2/30.4</f>
        <v>3.7697368421052632E-3</v>
      </c>
      <c r="N2" s="35">
        <v>14.8</v>
      </c>
      <c r="O2" s="36">
        <v>274</v>
      </c>
      <c r="P2" s="36"/>
      <c r="Q2" s="35">
        <v>24</v>
      </c>
      <c r="R2" s="33" t="s">
        <v>21</v>
      </c>
      <c r="S2" s="34"/>
      <c r="T2" s="32"/>
    </row>
    <row r="3" spans="1:20" s="40" customFormat="1" ht="14.25" customHeight="1" x14ac:dyDescent="0.3">
      <c r="A3" s="32">
        <v>2</v>
      </c>
      <c r="B3" s="32" t="s">
        <v>22</v>
      </c>
      <c r="C3" s="33" t="s">
        <v>19</v>
      </c>
      <c r="D3" s="33" t="s">
        <v>20</v>
      </c>
      <c r="E3" s="34">
        <v>45327</v>
      </c>
      <c r="F3" s="35">
        <f t="shared" ca="1" si="0"/>
        <v>27.631578947368421</v>
      </c>
      <c r="G3" s="35">
        <v>27.598684210526319</v>
      </c>
      <c r="H3" s="32">
        <v>1</v>
      </c>
      <c r="I3" s="36">
        <v>479</v>
      </c>
      <c r="J3" s="37">
        <v>497.32</v>
      </c>
      <c r="K3" s="38">
        <v>1.091</v>
      </c>
      <c r="L3" s="39">
        <v>0.1143</v>
      </c>
      <c r="M3" s="38">
        <f t="shared" ref="M3:M66" si="1">L3/30.4</f>
        <v>3.7598684210526315E-3</v>
      </c>
      <c r="N3" s="35">
        <v>14.4</v>
      </c>
      <c r="O3" s="36">
        <v>281</v>
      </c>
      <c r="P3" s="36"/>
      <c r="Q3" s="35">
        <v>25</v>
      </c>
      <c r="R3" s="33" t="s">
        <v>21</v>
      </c>
      <c r="S3" s="34"/>
      <c r="T3" s="32"/>
    </row>
    <row r="4" spans="1:20" s="40" customFormat="1" ht="14.25" customHeight="1" x14ac:dyDescent="0.3">
      <c r="A4" s="32">
        <v>3</v>
      </c>
      <c r="B4" s="32" t="s">
        <v>23</v>
      </c>
      <c r="C4" s="33" t="s">
        <v>19</v>
      </c>
      <c r="D4" s="33" t="s">
        <v>20</v>
      </c>
      <c r="E4" s="34">
        <v>45315</v>
      </c>
      <c r="F4" s="35">
        <f t="shared" ca="1" si="0"/>
        <v>28.026315789473685</v>
      </c>
      <c r="G4" s="35">
        <v>27.993421052631579</v>
      </c>
      <c r="H4" s="32">
        <v>1</v>
      </c>
      <c r="I4" s="36">
        <v>467</v>
      </c>
      <c r="J4" s="37">
        <v>486.67</v>
      </c>
      <c r="K4" s="38">
        <v>1.006</v>
      </c>
      <c r="L4" s="39">
        <v>0.1163</v>
      </c>
      <c r="M4" s="38">
        <f t="shared" si="1"/>
        <v>3.8256578947368424E-3</v>
      </c>
      <c r="N4" s="35">
        <v>13.4</v>
      </c>
      <c r="O4" s="36">
        <v>273</v>
      </c>
      <c r="P4" s="36"/>
      <c r="Q4" s="35">
        <v>22.8</v>
      </c>
      <c r="R4" s="33" t="s">
        <v>21</v>
      </c>
      <c r="S4" s="34"/>
      <c r="T4" s="32"/>
    </row>
    <row r="5" spans="1:20" s="40" customFormat="1" ht="14.25" customHeight="1" x14ac:dyDescent="0.3">
      <c r="A5" s="32">
        <v>4</v>
      </c>
      <c r="B5" s="32" t="s">
        <v>24</v>
      </c>
      <c r="C5" s="33" t="s">
        <v>19</v>
      </c>
      <c r="D5" s="33" t="s">
        <v>20</v>
      </c>
      <c r="E5" s="34">
        <v>45299</v>
      </c>
      <c r="F5" s="35">
        <f t="shared" ca="1" si="0"/>
        <v>28.55263157894737</v>
      </c>
      <c r="G5" s="35">
        <v>28.519736842105264</v>
      </c>
      <c r="H5" s="32">
        <v>1</v>
      </c>
      <c r="I5" s="36">
        <v>463</v>
      </c>
      <c r="J5" s="37">
        <v>480.42</v>
      </c>
      <c r="K5" s="38">
        <v>1.129</v>
      </c>
      <c r="L5" s="39">
        <v>0.114</v>
      </c>
      <c r="M5" s="38">
        <f t="shared" si="1"/>
        <v>3.7500000000000003E-3</v>
      </c>
      <c r="N5" s="35">
        <v>14.7</v>
      </c>
      <c r="O5" s="36">
        <v>269</v>
      </c>
      <c r="P5" s="36"/>
      <c r="Q5" s="35">
        <v>26.2</v>
      </c>
      <c r="R5" s="33" t="s">
        <v>21</v>
      </c>
      <c r="S5" s="34"/>
      <c r="T5" s="32"/>
    </row>
    <row r="6" spans="1:20" s="40" customFormat="1" ht="14.25" customHeight="1" x14ac:dyDescent="0.3">
      <c r="A6" s="32">
        <v>5</v>
      </c>
      <c r="B6" s="32" t="s">
        <v>25</v>
      </c>
      <c r="C6" s="33" t="s">
        <v>19</v>
      </c>
      <c r="D6" s="33" t="s">
        <v>20</v>
      </c>
      <c r="E6" s="34">
        <v>45182</v>
      </c>
      <c r="F6" s="35">
        <f t="shared" ca="1" si="0"/>
        <v>32.401315789473685</v>
      </c>
      <c r="G6" s="35">
        <v>32.368421052631582</v>
      </c>
      <c r="H6" s="32">
        <v>1</v>
      </c>
      <c r="I6" s="36">
        <v>484</v>
      </c>
      <c r="J6" s="37">
        <v>502.22</v>
      </c>
      <c r="K6" s="38">
        <v>1.097</v>
      </c>
      <c r="L6" s="39">
        <v>0.1085</v>
      </c>
      <c r="M6" s="38">
        <f t="shared" si="1"/>
        <v>3.5690789473684214E-3</v>
      </c>
      <c r="N6" s="35">
        <v>14.8</v>
      </c>
      <c r="O6" s="36">
        <v>275</v>
      </c>
      <c r="P6" s="36"/>
      <c r="Q6" s="35">
        <v>25.4</v>
      </c>
      <c r="R6" s="33" t="s">
        <v>21</v>
      </c>
      <c r="S6" s="34"/>
      <c r="T6" s="32"/>
    </row>
    <row r="7" spans="1:20" s="40" customFormat="1" ht="14.25" customHeight="1" x14ac:dyDescent="0.3">
      <c r="A7" s="32">
        <v>6</v>
      </c>
      <c r="B7" s="32" t="s">
        <v>26</v>
      </c>
      <c r="C7" s="33" t="s">
        <v>19</v>
      </c>
      <c r="D7" s="33" t="s">
        <v>20</v>
      </c>
      <c r="E7" s="34">
        <v>45216</v>
      </c>
      <c r="F7" s="35">
        <f t="shared" ca="1" si="0"/>
        <v>31.282894736842106</v>
      </c>
      <c r="G7" s="35">
        <v>31.25</v>
      </c>
      <c r="H7" s="32">
        <v>1</v>
      </c>
      <c r="I7" s="36">
        <v>475</v>
      </c>
      <c r="J7" s="37">
        <v>490.96</v>
      </c>
      <c r="K7" s="38">
        <v>1.0960000000000001</v>
      </c>
      <c r="L7" s="39">
        <v>0.10979999999999999</v>
      </c>
      <c r="M7" s="38">
        <f t="shared" si="1"/>
        <v>3.6118421052631581E-3</v>
      </c>
      <c r="N7" s="35">
        <v>15.1</v>
      </c>
      <c r="O7" s="36">
        <v>277</v>
      </c>
      <c r="P7" s="36"/>
      <c r="Q7" s="35">
        <v>25</v>
      </c>
      <c r="R7" s="33" t="s">
        <v>21</v>
      </c>
      <c r="S7" s="34"/>
      <c r="T7" s="32"/>
    </row>
    <row r="8" spans="1:20" s="40" customFormat="1" ht="14.25" customHeight="1" x14ac:dyDescent="0.3">
      <c r="A8" s="31">
        <v>7</v>
      </c>
      <c r="B8" s="32" t="s">
        <v>27</v>
      </c>
      <c r="C8" s="33" t="s">
        <v>19</v>
      </c>
      <c r="D8" s="33" t="s">
        <v>20</v>
      </c>
      <c r="E8" s="34">
        <v>45189</v>
      </c>
      <c r="F8" s="35">
        <f t="shared" ca="1" si="0"/>
        <v>32.171052631578952</v>
      </c>
      <c r="G8" s="35">
        <v>32.138157894736842</v>
      </c>
      <c r="H8" s="32">
        <v>1</v>
      </c>
      <c r="I8" s="36">
        <v>466</v>
      </c>
      <c r="J8" s="37">
        <v>487.66</v>
      </c>
      <c r="K8" s="38">
        <v>1.077</v>
      </c>
      <c r="L8" s="39">
        <v>0.10589999999999999</v>
      </c>
      <c r="M8" s="38">
        <f t="shared" si="1"/>
        <v>3.4835526315789471E-3</v>
      </c>
      <c r="N8" s="35">
        <v>15.2</v>
      </c>
      <c r="O8" s="36">
        <v>271</v>
      </c>
      <c r="P8" s="36"/>
      <c r="Q8" s="35">
        <v>25.1</v>
      </c>
      <c r="R8" s="33" t="s">
        <v>21</v>
      </c>
      <c r="S8" s="34"/>
      <c r="T8" s="32"/>
    </row>
    <row r="9" spans="1:20" s="40" customFormat="1" ht="14.25" customHeight="1" x14ac:dyDescent="0.3">
      <c r="A9" s="32">
        <v>8</v>
      </c>
      <c r="B9" s="32" t="s">
        <v>28</v>
      </c>
      <c r="C9" s="33" t="s">
        <v>19</v>
      </c>
      <c r="D9" s="33" t="s">
        <v>20</v>
      </c>
      <c r="E9" s="34">
        <v>45351</v>
      </c>
      <c r="F9" s="35">
        <f t="shared" ca="1" si="0"/>
        <v>26.842105263157897</v>
      </c>
      <c r="G9" s="35">
        <v>26.809210526315791</v>
      </c>
      <c r="H9" s="32">
        <v>1</v>
      </c>
      <c r="I9" s="36">
        <v>454</v>
      </c>
      <c r="J9" s="37">
        <v>480.02</v>
      </c>
      <c r="K9" s="38">
        <v>1.093</v>
      </c>
      <c r="L9" s="39">
        <v>0.111</v>
      </c>
      <c r="M9" s="38">
        <f t="shared" si="1"/>
        <v>3.6513157894736844E-3</v>
      </c>
      <c r="N9" s="35">
        <v>15.5</v>
      </c>
      <c r="O9" s="36">
        <v>282</v>
      </c>
      <c r="P9" s="36"/>
      <c r="Q9" s="35">
        <v>25.4</v>
      </c>
      <c r="R9" s="33" t="s">
        <v>21</v>
      </c>
      <c r="S9" s="34"/>
      <c r="T9" s="32"/>
    </row>
    <row r="10" spans="1:20" s="40" customFormat="1" ht="14.25" customHeight="1" x14ac:dyDescent="0.3">
      <c r="A10" s="32">
        <v>9</v>
      </c>
      <c r="B10" s="32" t="s">
        <v>29</v>
      </c>
      <c r="C10" s="33" t="s">
        <v>19</v>
      </c>
      <c r="D10" s="33" t="s">
        <v>20</v>
      </c>
      <c r="E10" s="34">
        <v>45100</v>
      </c>
      <c r="F10" s="35">
        <f t="shared" ca="1" si="0"/>
        <v>35.098684210526315</v>
      </c>
      <c r="G10" s="35">
        <v>35.065789473684212</v>
      </c>
      <c r="H10" s="32">
        <v>1</v>
      </c>
      <c r="I10" s="36">
        <v>450</v>
      </c>
      <c r="J10" s="37">
        <v>465.98</v>
      </c>
      <c r="K10" s="38">
        <v>1.1579999999999999</v>
      </c>
      <c r="L10" s="39">
        <v>0.10680000000000001</v>
      </c>
      <c r="M10" s="38">
        <f t="shared" si="1"/>
        <v>3.5131578947368426E-3</v>
      </c>
      <c r="N10" s="35">
        <v>17.399999999999999</v>
      </c>
      <c r="O10" s="36">
        <v>283</v>
      </c>
      <c r="P10" s="36"/>
      <c r="Q10" s="35">
        <v>26.6</v>
      </c>
      <c r="R10" s="33" t="s">
        <v>21</v>
      </c>
      <c r="S10" s="34"/>
      <c r="T10" s="32"/>
    </row>
    <row r="11" spans="1:20" s="40" customFormat="1" ht="14.25" customHeight="1" x14ac:dyDescent="0.3">
      <c r="A11" s="32">
        <v>10</v>
      </c>
      <c r="B11" s="32" t="s">
        <v>30</v>
      </c>
      <c r="C11" s="33" t="s">
        <v>19</v>
      </c>
      <c r="D11" s="33" t="s">
        <v>20</v>
      </c>
      <c r="E11" s="34">
        <v>45191</v>
      </c>
      <c r="F11" s="35">
        <f t="shared" ca="1" si="0"/>
        <v>32.10526315789474</v>
      </c>
      <c r="G11" s="35">
        <v>32.07236842105263</v>
      </c>
      <c r="H11" s="32">
        <v>1</v>
      </c>
      <c r="I11" s="36">
        <v>467</v>
      </c>
      <c r="J11" s="37">
        <v>486.79</v>
      </c>
      <c r="K11" s="38">
        <v>1.091</v>
      </c>
      <c r="L11" s="39">
        <v>0.10879999999999999</v>
      </c>
      <c r="M11" s="38">
        <f t="shared" si="1"/>
        <v>3.5789473684210526E-3</v>
      </c>
      <c r="N11" s="35">
        <v>15.2</v>
      </c>
      <c r="O11" s="36">
        <v>275</v>
      </c>
      <c r="P11" s="36"/>
      <c r="Q11" s="35">
        <v>25.9</v>
      </c>
      <c r="R11" s="33" t="s">
        <v>21</v>
      </c>
      <c r="S11" s="34"/>
      <c r="T11" s="32"/>
    </row>
    <row r="12" spans="1:20" s="40" customFormat="1" ht="14.25" customHeight="1" x14ac:dyDescent="0.3">
      <c r="A12" s="32">
        <v>11</v>
      </c>
      <c r="B12" s="32" t="s">
        <v>31</v>
      </c>
      <c r="C12" s="33" t="s">
        <v>19</v>
      </c>
      <c r="D12" s="33" t="s">
        <v>20</v>
      </c>
      <c r="E12" s="34">
        <v>45276</v>
      </c>
      <c r="F12" s="35">
        <f t="shared" ca="1" si="0"/>
        <v>29.309210526315791</v>
      </c>
      <c r="G12" s="35">
        <v>29.276315789473685</v>
      </c>
      <c r="H12" s="32">
        <v>1</v>
      </c>
      <c r="I12" s="36">
        <v>467</v>
      </c>
      <c r="J12" s="37">
        <v>487.23</v>
      </c>
      <c r="K12" s="38">
        <v>1.099</v>
      </c>
      <c r="L12" s="39">
        <v>0.11509999999999999</v>
      </c>
      <c r="M12" s="38">
        <f t="shared" si="1"/>
        <v>3.7861842105263157E-3</v>
      </c>
      <c r="N12" s="35">
        <v>14.7</v>
      </c>
      <c r="O12" s="36">
        <v>280</v>
      </c>
      <c r="P12" s="36"/>
      <c r="Q12" s="35">
        <v>24</v>
      </c>
      <c r="R12" s="33" t="s">
        <v>21</v>
      </c>
      <c r="S12" s="34"/>
      <c r="T12" s="32"/>
    </row>
    <row r="13" spans="1:20" s="40" customFormat="1" ht="14.25" customHeight="1" x14ac:dyDescent="0.3">
      <c r="A13" s="32">
        <v>12</v>
      </c>
      <c r="B13" s="32" t="s">
        <v>32</v>
      </c>
      <c r="C13" s="33" t="s">
        <v>19</v>
      </c>
      <c r="D13" s="33" t="s">
        <v>20</v>
      </c>
      <c r="E13" s="34">
        <v>45297</v>
      </c>
      <c r="F13" s="35">
        <f t="shared" ca="1" si="0"/>
        <v>28.618421052631579</v>
      </c>
      <c r="G13" s="35">
        <v>28.585526315789476</v>
      </c>
      <c r="H13" s="32">
        <v>1</v>
      </c>
      <c r="I13" s="36">
        <v>464</v>
      </c>
      <c r="J13" s="37">
        <v>484.23</v>
      </c>
      <c r="K13" s="38">
        <v>1.008</v>
      </c>
      <c r="L13" s="39">
        <v>0.1072</v>
      </c>
      <c r="M13" s="38">
        <f t="shared" si="1"/>
        <v>3.5263157894736847E-3</v>
      </c>
      <c r="N13" s="35">
        <v>14.8</v>
      </c>
      <c r="O13" s="36">
        <v>277</v>
      </c>
      <c r="P13" s="36"/>
      <c r="Q13" s="35">
        <v>23.9</v>
      </c>
      <c r="R13" s="33" t="s">
        <v>21</v>
      </c>
      <c r="S13" s="34"/>
      <c r="T13" s="32"/>
    </row>
    <row r="14" spans="1:20" s="40" customFormat="1" ht="14.25" customHeight="1" x14ac:dyDescent="0.3">
      <c r="A14" s="31">
        <v>13</v>
      </c>
      <c r="B14" s="32" t="s">
        <v>33</v>
      </c>
      <c r="C14" s="33" t="s">
        <v>19</v>
      </c>
      <c r="D14" s="33" t="s">
        <v>20</v>
      </c>
      <c r="E14" s="34">
        <v>45344</v>
      </c>
      <c r="F14" s="35">
        <f t="shared" ca="1" si="0"/>
        <v>27.072368421052634</v>
      </c>
      <c r="G14" s="35">
        <v>27.039473684210527</v>
      </c>
      <c r="H14" s="32">
        <v>1</v>
      </c>
      <c r="I14" s="36">
        <v>467</v>
      </c>
      <c r="J14" s="37">
        <v>494.76</v>
      </c>
      <c r="K14" s="38">
        <v>1.0049999999999999</v>
      </c>
      <c r="L14" s="39">
        <v>0.10829999999999999</v>
      </c>
      <c r="M14" s="38">
        <f t="shared" si="1"/>
        <v>3.5625000000000001E-3</v>
      </c>
      <c r="N14" s="35">
        <v>13.3</v>
      </c>
      <c r="O14" s="36">
        <v>259</v>
      </c>
      <c r="P14" s="36"/>
      <c r="Q14" s="35">
        <v>23.1</v>
      </c>
      <c r="R14" s="33" t="s">
        <v>21</v>
      </c>
      <c r="S14" s="34"/>
      <c r="T14" s="32"/>
    </row>
    <row r="15" spans="1:20" s="40" customFormat="1" ht="14.25" customHeight="1" x14ac:dyDescent="0.3">
      <c r="A15" s="32">
        <v>14</v>
      </c>
      <c r="B15" s="32" t="s">
        <v>34</v>
      </c>
      <c r="C15" s="33" t="s">
        <v>19</v>
      </c>
      <c r="D15" s="33" t="s">
        <v>20</v>
      </c>
      <c r="E15" s="34">
        <v>45212</v>
      </c>
      <c r="F15" s="35">
        <f t="shared" ca="1" si="0"/>
        <v>31.414473684210527</v>
      </c>
      <c r="G15" s="35">
        <v>31.381578947368421</v>
      </c>
      <c r="H15" s="32">
        <v>1</v>
      </c>
      <c r="I15" s="36">
        <v>477</v>
      </c>
      <c r="J15" s="37">
        <v>491.03</v>
      </c>
      <c r="K15" s="38">
        <v>1.125</v>
      </c>
      <c r="L15" s="39">
        <v>0.1124</v>
      </c>
      <c r="M15" s="38">
        <f t="shared" si="1"/>
        <v>3.6973684210526319E-3</v>
      </c>
      <c r="N15" s="35">
        <v>14.4</v>
      </c>
      <c r="O15" s="36">
        <v>266</v>
      </c>
      <c r="P15" s="36"/>
      <c r="Q15" s="35">
        <v>24.3</v>
      </c>
      <c r="R15" s="33" t="s">
        <v>21</v>
      </c>
      <c r="S15" s="34"/>
      <c r="T15" s="32"/>
    </row>
    <row r="16" spans="1:20" s="40" customFormat="1" ht="14.25" customHeight="1" x14ac:dyDescent="0.3">
      <c r="A16" s="32">
        <v>15</v>
      </c>
      <c r="B16" s="32" t="s">
        <v>35</v>
      </c>
      <c r="C16" s="33" t="s">
        <v>19</v>
      </c>
      <c r="D16" s="33" t="s">
        <v>20</v>
      </c>
      <c r="E16" s="34">
        <v>45165</v>
      </c>
      <c r="F16" s="35">
        <f t="shared" ca="1" si="0"/>
        <v>32.960526315789473</v>
      </c>
      <c r="G16" s="35">
        <v>32.92763157894737</v>
      </c>
      <c r="H16" s="32">
        <v>1</v>
      </c>
      <c r="I16" s="36">
        <v>455</v>
      </c>
      <c r="J16" s="37">
        <v>475.21</v>
      </c>
      <c r="K16" s="38">
        <v>1.2170000000000001</v>
      </c>
      <c r="L16" s="39">
        <v>0.1087</v>
      </c>
      <c r="M16" s="38">
        <f t="shared" si="1"/>
        <v>3.5756578947368422E-3</v>
      </c>
      <c r="N16" s="35">
        <v>16.3</v>
      </c>
      <c r="O16" s="36">
        <v>268</v>
      </c>
      <c r="P16" s="36"/>
      <c r="Q16" s="35">
        <v>25.5</v>
      </c>
      <c r="R16" s="33" t="s">
        <v>21</v>
      </c>
      <c r="S16" s="34"/>
      <c r="T16" s="32"/>
    </row>
    <row r="17" spans="1:20" s="40" customFormat="1" ht="14.25" customHeight="1" x14ac:dyDescent="0.3">
      <c r="A17" s="32">
        <v>16</v>
      </c>
      <c r="B17" s="32" t="s">
        <v>36</v>
      </c>
      <c r="C17" s="33" t="s">
        <v>19</v>
      </c>
      <c r="D17" s="33" t="s">
        <v>20</v>
      </c>
      <c r="E17" s="34">
        <v>45330</v>
      </c>
      <c r="F17" s="35">
        <f t="shared" ca="1" si="0"/>
        <v>27.532894736842106</v>
      </c>
      <c r="G17" s="35">
        <v>27.5</v>
      </c>
      <c r="H17" s="32">
        <v>1</v>
      </c>
      <c r="I17" s="36">
        <v>473</v>
      </c>
      <c r="J17" s="37">
        <v>494.03</v>
      </c>
      <c r="K17" s="38">
        <v>1.012</v>
      </c>
      <c r="L17" s="39">
        <v>0.11070000000000001</v>
      </c>
      <c r="M17" s="38">
        <f t="shared" si="1"/>
        <v>3.6414473684210531E-3</v>
      </c>
      <c r="N17" s="35">
        <v>13</v>
      </c>
      <c r="O17" s="36">
        <v>258</v>
      </c>
      <c r="P17" s="36"/>
      <c r="Q17" s="35">
        <v>23.7</v>
      </c>
      <c r="R17" s="33" t="s">
        <v>21</v>
      </c>
      <c r="S17" s="34"/>
      <c r="T17" s="32"/>
    </row>
    <row r="18" spans="1:20" s="40" customFormat="1" ht="14.25" customHeight="1" x14ac:dyDescent="0.3">
      <c r="A18" s="32">
        <v>17</v>
      </c>
      <c r="B18" s="32" t="s">
        <v>37</v>
      </c>
      <c r="C18" s="33" t="s">
        <v>19</v>
      </c>
      <c r="D18" s="33" t="s">
        <v>20</v>
      </c>
      <c r="E18" s="34">
        <v>45246</v>
      </c>
      <c r="F18" s="35">
        <f t="shared" ca="1" si="0"/>
        <v>30.296052631578949</v>
      </c>
      <c r="G18" s="35">
        <v>30.263157894736842</v>
      </c>
      <c r="H18" s="32">
        <v>1</v>
      </c>
      <c r="I18" s="36">
        <v>462</v>
      </c>
      <c r="J18" s="37">
        <v>483.33</v>
      </c>
      <c r="K18" s="38">
        <v>1.1240000000000001</v>
      </c>
      <c r="L18" s="39">
        <v>0.1032</v>
      </c>
      <c r="M18" s="38">
        <f t="shared" si="1"/>
        <v>3.3947368421052633E-3</v>
      </c>
      <c r="N18" s="35">
        <v>15.6</v>
      </c>
      <c r="O18" s="36">
        <v>262</v>
      </c>
      <c r="P18" s="36"/>
      <c r="Q18" s="35">
        <v>24.7</v>
      </c>
      <c r="R18" s="33" t="s">
        <v>21</v>
      </c>
      <c r="S18" s="34"/>
      <c r="T18" s="32"/>
    </row>
    <row r="19" spans="1:20" s="40" customFormat="1" ht="14.25" customHeight="1" x14ac:dyDescent="0.3">
      <c r="A19" s="32">
        <v>18</v>
      </c>
      <c r="B19" s="32" t="s">
        <v>38</v>
      </c>
      <c r="C19" s="33" t="s">
        <v>19</v>
      </c>
      <c r="D19" s="33" t="s">
        <v>20</v>
      </c>
      <c r="E19" s="34">
        <v>45225</v>
      </c>
      <c r="F19" s="35">
        <f t="shared" ca="1" si="0"/>
        <v>30.986842105263161</v>
      </c>
      <c r="G19" s="35">
        <v>30.953947368421055</v>
      </c>
      <c r="H19" s="32">
        <v>1</v>
      </c>
      <c r="I19" s="36">
        <v>472</v>
      </c>
      <c r="J19" s="37">
        <v>495.3</v>
      </c>
      <c r="K19" s="38">
        <v>1.036</v>
      </c>
      <c r="L19" s="39">
        <v>0.1056</v>
      </c>
      <c r="M19" s="38">
        <f t="shared" si="1"/>
        <v>3.4736842105263159E-3</v>
      </c>
      <c r="N19" s="35">
        <v>15</v>
      </c>
      <c r="O19" s="36">
        <v>277</v>
      </c>
      <c r="P19" s="36"/>
      <c r="Q19" s="35">
        <v>24.1</v>
      </c>
      <c r="R19" s="33" t="s">
        <v>21</v>
      </c>
      <c r="S19" s="34"/>
      <c r="T19" s="32"/>
    </row>
    <row r="20" spans="1:20" s="40" customFormat="1" ht="14.25" customHeight="1" x14ac:dyDescent="0.3">
      <c r="A20" s="31">
        <v>19</v>
      </c>
      <c r="B20" s="32" t="s">
        <v>39</v>
      </c>
      <c r="C20" s="33" t="s">
        <v>19</v>
      </c>
      <c r="D20" s="33" t="s">
        <v>20</v>
      </c>
      <c r="E20" s="34">
        <v>45356</v>
      </c>
      <c r="F20" s="35">
        <f t="shared" ca="1" si="0"/>
        <v>26.67763157894737</v>
      </c>
      <c r="G20" s="35">
        <v>26.644736842105264</v>
      </c>
      <c r="H20" s="32">
        <v>1</v>
      </c>
      <c r="I20" s="36">
        <v>470</v>
      </c>
      <c r="J20" s="37">
        <v>497.6</v>
      </c>
      <c r="K20" s="38">
        <v>1.1499999999999999</v>
      </c>
      <c r="L20" s="39">
        <v>0.10929999999999999</v>
      </c>
      <c r="M20" s="38">
        <f t="shared" si="1"/>
        <v>3.5953947368421051E-3</v>
      </c>
      <c r="N20" s="35">
        <v>15</v>
      </c>
      <c r="O20" s="36">
        <v>269</v>
      </c>
      <c r="P20" s="36"/>
      <c r="Q20" s="35">
        <v>25.6</v>
      </c>
      <c r="R20" s="33" t="s">
        <v>21</v>
      </c>
      <c r="S20" s="34"/>
      <c r="T20" s="32"/>
    </row>
    <row r="21" spans="1:20" s="40" customFormat="1" ht="14.25" customHeight="1" x14ac:dyDescent="0.3">
      <c r="A21" s="32">
        <v>20</v>
      </c>
      <c r="B21" s="32" t="s">
        <v>40</v>
      </c>
      <c r="C21" s="33" t="s">
        <v>19</v>
      </c>
      <c r="D21" s="33" t="s">
        <v>20</v>
      </c>
      <c r="E21" s="34">
        <v>45352</v>
      </c>
      <c r="F21" s="35">
        <f t="shared" ca="1" si="0"/>
        <v>26.809210526315791</v>
      </c>
      <c r="G21" s="35">
        <v>26.776315789473685</v>
      </c>
      <c r="H21" s="32">
        <v>1</v>
      </c>
      <c r="I21" s="36">
        <v>471</v>
      </c>
      <c r="J21" s="37">
        <v>495.63</v>
      </c>
      <c r="K21" s="38">
        <v>1.048</v>
      </c>
      <c r="L21" s="39">
        <v>0.1104</v>
      </c>
      <c r="M21" s="38">
        <f t="shared" si="1"/>
        <v>3.631578947368421E-3</v>
      </c>
      <c r="N21" s="35">
        <v>13.5</v>
      </c>
      <c r="O21" s="36">
        <v>261</v>
      </c>
      <c r="P21" s="36"/>
      <c r="Q21" s="35">
        <v>24.1</v>
      </c>
      <c r="R21" s="33" t="s">
        <v>21</v>
      </c>
      <c r="S21" s="34"/>
      <c r="T21" s="32"/>
    </row>
    <row r="22" spans="1:20" s="40" customFormat="1" ht="14.25" customHeight="1" x14ac:dyDescent="0.3">
      <c r="A22" s="32">
        <v>21</v>
      </c>
      <c r="B22" s="32" t="s">
        <v>41</v>
      </c>
      <c r="C22" s="33" t="s">
        <v>19</v>
      </c>
      <c r="D22" s="33" t="s">
        <v>20</v>
      </c>
      <c r="E22" s="34">
        <v>45193</v>
      </c>
      <c r="F22" s="35">
        <f t="shared" ca="1" si="0"/>
        <v>32.039473684210527</v>
      </c>
      <c r="G22" s="35">
        <v>32.006578947368425</v>
      </c>
      <c r="H22" s="32">
        <v>1</v>
      </c>
      <c r="I22" s="36">
        <v>466</v>
      </c>
      <c r="J22" s="37">
        <v>479.99</v>
      </c>
      <c r="K22" s="38">
        <v>1.121</v>
      </c>
      <c r="L22" s="39">
        <v>0.1208</v>
      </c>
      <c r="M22" s="38">
        <f t="shared" si="1"/>
        <v>3.9736842105263159E-3</v>
      </c>
      <c r="N22" s="35">
        <v>13.7</v>
      </c>
      <c r="O22" s="36">
        <v>268</v>
      </c>
      <c r="P22" s="36"/>
      <c r="Q22" s="35">
        <v>24.4</v>
      </c>
      <c r="R22" s="33" t="s">
        <v>21</v>
      </c>
      <c r="S22" s="34"/>
      <c r="T22" s="32"/>
    </row>
    <row r="23" spans="1:20" s="40" customFormat="1" ht="14.25" customHeight="1" x14ac:dyDescent="0.3">
      <c r="A23" s="32">
        <v>22</v>
      </c>
      <c r="B23" s="32" t="s">
        <v>42</v>
      </c>
      <c r="C23" s="33" t="s">
        <v>19</v>
      </c>
      <c r="D23" s="33" t="s">
        <v>20</v>
      </c>
      <c r="E23" s="34">
        <v>45214</v>
      </c>
      <c r="F23" s="35">
        <f t="shared" ca="1" si="0"/>
        <v>31.348684210526319</v>
      </c>
      <c r="G23" s="35">
        <v>31.315789473684212</v>
      </c>
      <c r="H23" s="32">
        <v>1</v>
      </c>
      <c r="I23" s="36">
        <v>481</v>
      </c>
      <c r="J23" s="37">
        <v>495.28</v>
      </c>
      <c r="K23" s="38">
        <v>1.103</v>
      </c>
      <c r="L23" s="39">
        <v>0.1139</v>
      </c>
      <c r="M23" s="38">
        <f t="shared" si="1"/>
        <v>3.7467105263157899E-3</v>
      </c>
      <c r="N23" s="35">
        <v>14.3</v>
      </c>
      <c r="O23" s="36">
        <v>275</v>
      </c>
      <c r="P23" s="36"/>
      <c r="Q23" s="35">
        <v>25.5</v>
      </c>
      <c r="R23" s="33" t="s">
        <v>21</v>
      </c>
      <c r="S23" s="34"/>
      <c r="T23" s="32"/>
    </row>
    <row r="24" spans="1:20" s="40" customFormat="1" ht="14.25" customHeight="1" x14ac:dyDescent="0.3">
      <c r="A24" s="32">
        <v>23</v>
      </c>
      <c r="B24" s="32" t="s">
        <v>43</v>
      </c>
      <c r="C24" s="33" t="s">
        <v>19</v>
      </c>
      <c r="D24" s="33" t="s">
        <v>20</v>
      </c>
      <c r="E24" s="34">
        <v>45326</v>
      </c>
      <c r="F24" s="35">
        <f t="shared" ca="1" si="0"/>
        <v>27.664473684210527</v>
      </c>
      <c r="G24" s="35">
        <v>27.631578947368421</v>
      </c>
      <c r="H24" s="32">
        <v>1</v>
      </c>
      <c r="I24" s="36">
        <v>476</v>
      </c>
      <c r="J24" s="37">
        <v>499.98</v>
      </c>
      <c r="K24" s="38">
        <v>1.113</v>
      </c>
      <c r="L24" s="39">
        <v>0.1074</v>
      </c>
      <c r="M24" s="38">
        <f t="shared" si="1"/>
        <v>3.5328947368421051E-3</v>
      </c>
      <c r="N24" s="35">
        <v>14.8</v>
      </c>
      <c r="O24" s="36">
        <v>268</v>
      </c>
      <c r="P24" s="36"/>
      <c r="Q24" s="35">
        <v>24</v>
      </c>
      <c r="R24" s="33" t="s">
        <v>21</v>
      </c>
      <c r="S24" s="34"/>
      <c r="T24" s="32"/>
    </row>
    <row r="25" spans="1:20" s="40" customFormat="1" ht="14.25" customHeight="1" x14ac:dyDescent="0.3">
      <c r="A25" s="32">
        <v>24</v>
      </c>
      <c r="B25" s="32" t="s">
        <v>44</v>
      </c>
      <c r="C25" s="33" t="s">
        <v>19</v>
      </c>
      <c r="D25" s="33" t="s">
        <v>20</v>
      </c>
      <c r="E25" s="34">
        <v>45329</v>
      </c>
      <c r="F25" s="35">
        <f t="shared" ca="1" si="0"/>
        <v>27.565789473684212</v>
      </c>
      <c r="G25" s="35">
        <v>27.532894736842106</v>
      </c>
      <c r="H25" s="32">
        <v>1</v>
      </c>
      <c r="I25" s="36">
        <v>472</v>
      </c>
      <c r="J25" s="37">
        <v>492.67</v>
      </c>
      <c r="K25" s="38">
        <v>1.0660000000000001</v>
      </c>
      <c r="L25" s="39">
        <v>0.1237</v>
      </c>
      <c r="M25" s="38">
        <f t="shared" si="1"/>
        <v>4.069078947368421E-3</v>
      </c>
      <c r="N25" s="35">
        <v>12.4</v>
      </c>
      <c r="O25" s="36">
        <v>263</v>
      </c>
      <c r="P25" s="36"/>
      <c r="Q25" s="35">
        <v>22.2</v>
      </c>
      <c r="R25" s="33" t="s">
        <v>21</v>
      </c>
      <c r="S25" s="34"/>
      <c r="T25" s="32"/>
    </row>
    <row r="26" spans="1:20" s="40" customFormat="1" ht="14.25" customHeight="1" x14ac:dyDescent="0.3">
      <c r="A26" s="31">
        <v>25</v>
      </c>
      <c r="B26" s="32" t="s">
        <v>45</v>
      </c>
      <c r="C26" s="33" t="s">
        <v>19</v>
      </c>
      <c r="D26" s="33" t="s">
        <v>20</v>
      </c>
      <c r="E26" s="34">
        <v>45241</v>
      </c>
      <c r="F26" s="35">
        <f t="shared" ca="1" si="0"/>
        <v>30.460526315789476</v>
      </c>
      <c r="G26" s="35">
        <v>30.42763157894737</v>
      </c>
      <c r="H26" s="32">
        <v>1</v>
      </c>
      <c r="I26" s="36">
        <v>482</v>
      </c>
      <c r="J26" s="37">
        <v>493.97</v>
      </c>
      <c r="K26" s="38">
        <v>1.0509999999999999</v>
      </c>
      <c r="L26" s="39">
        <v>0.11559999999999999</v>
      </c>
      <c r="M26" s="38">
        <f t="shared" si="1"/>
        <v>3.8026315789473682E-3</v>
      </c>
      <c r="N26" s="35">
        <v>13.6</v>
      </c>
      <c r="O26" s="36">
        <v>272</v>
      </c>
      <c r="P26" s="36"/>
      <c r="Q26" s="35">
        <v>23.7</v>
      </c>
      <c r="R26" s="33" t="s">
        <v>21</v>
      </c>
      <c r="S26" s="34"/>
      <c r="T26" s="32"/>
    </row>
    <row r="27" spans="1:20" s="40" customFormat="1" ht="14.25" customHeight="1" x14ac:dyDescent="0.3">
      <c r="A27" s="32">
        <v>26</v>
      </c>
      <c r="B27" s="32" t="s">
        <v>46</v>
      </c>
      <c r="C27" s="33" t="s">
        <v>19</v>
      </c>
      <c r="D27" s="33" t="s">
        <v>20</v>
      </c>
      <c r="E27" s="34">
        <v>45122</v>
      </c>
      <c r="F27" s="35">
        <f t="shared" ca="1" si="0"/>
        <v>34.375</v>
      </c>
      <c r="G27" s="35">
        <v>34.342105263157897</v>
      </c>
      <c r="H27" s="32">
        <v>1</v>
      </c>
      <c r="I27" s="36">
        <v>484</v>
      </c>
      <c r="J27" s="37">
        <v>501.79</v>
      </c>
      <c r="K27" s="38">
        <v>1.0620000000000001</v>
      </c>
      <c r="L27" s="39">
        <v>0.10009999999999999</v>
      </c>
      <c r="M27" s="38">
        <f t="shared" si="1"/>
        <v>3.292763157894737E-3</v>
      </c>
      <c r="N27" s="35">
        <v>15.2</v>
      </c>
      <c r="O27" s="36">
        <v>266</v>
      </c>
      <c r="P27" s="36"/>
      <c r="Q27" s="35">
        <v>25.9</v>
      </c>
      <c r="R27" s="33" t="s">
        <v>21</v>
      </c>
      <c r="S27" s="34"/>
      <c r="T27" s="32"/>
    </row>
    <row r="28" spans="1:20" s="40" customFormat="1" ht="14.25" customHeight="1" x14ac:dyDescent="0.3">
      <c r="A28" s="32">
        <v>27</v>
      </c>
      <c r="B28" s="32" t="s">
        <v>47</v>
      </c>
      <c r="C28" s="33" t="s">
        <v>19</v>
      </c>
      <c r="D28" s="33" t="s">
        <v>20</v>
      </c>
      <c r="E28" s="34">
        <v>45312</v>
      </c>
      <c r="F28" s="35">
        <f t="shared" ca="1" si="0"/>
        <v>28.125</v>
      </c>
      <c r="G28" s="35">
        <v>28.092105263157897</v>
      </c>
      <c r="H28" s="32">
        <v>1</v>
      </c>
      <c r="I28" s="36">
        <v>476</v>
      </c>
      <c r="J28" s="37">
        <v>498.92</v>
      </c>
      <c r="K28" s="38">
        <v>1.1000000000000001</v>
      </c>
      <c r="L28" s="39">
        <v>0.10680000000000001</v>
      </c>
      <c r="M28" s="38">
        <f t="shared" si="1"/>
        <v>3.5131578947368426E-3</v>
      </c>
      <c r="N28" s="35">
        <v>15.4</v>
      </c>
      <c r="O28" s="36">
        <v>280</v>
      </c>
      <c r="P28" s="36"/>
      <c r="Q28" s="35">
        <v>24.6</v>
      </c>
      <c r="R28" s="33" t="s">
        <v>21</v>
      </c>
      <c r="S28" s="34"/>
      <c r="T28" s="32"/>
    </row>
    <row r="29" spans="1:20" s="40" customFormat="1" ht="14.25" customHeight="1" x14ac:dyDescent="0.3">
      <c r="A29" s="32">
        <v>28</v>
      </c>
      <c r="B29" s="32" t="s">
        <v>48</v>
      </c>
      <c r="C29" s="33" t="s">
        <v>19</v>
      </c>
      <c r="D29" s="33" t="s">
        <v>20</v>
      </c>
      <c r="E29" s="34">
        <v>45421</v>
      </c>
      <c r="F29" s="35">
        <f t="shared" ca="1" si="0"/>
        <v>24.539473684210527</v>
      </c>
      <c r="G29" s="35">
        <v>24.506578947368421</v>
      </c>
      <c r="H29" s="32">
        <v>1</v>
      </c>
      <c r="I29" s="36">
        <v>449</v>
      </c>
      <c r="J29" s="37">
        <v>480.54</v>
      </c>
      <c r="K29" s="38">
        <v>1.137</v>
      </c>
      <c r="L29" s="39">
        <v>0.1178</v>
      </c>
      <c r="M29" s="38">
        <f t="shared" si="1"/>
        <v>3.8750000000000004E-3</v>
      </c>
      <c r="N29" s="35">
        <v>14.4</v>
      </c>
      <c r="O29" s="36">
        <v>271</v>
      </c>
      <c r="P29" s="36"/>
      <c r="Q29" s="35">
        <v>23.5</v>
      </c>
      <c r="R29" s="33" t="s">
        <v>21</v>
      </c>
      <c r="S29" s="34"/>
      <c r="T29" s="32"/>
    </row>
    <row r="30" spans="1:20" s="40" customFormat="1" ht="14.25" customHeight="1" x14ac:dyDescent="0.3">
      <c r="A30" s="32">
        <v>29</v>
      </c>
      <c r="B30" s="32" t="s">
        <v>49</v>
      </c>
      <c r="C30" s="33" t="s">
        <v>19</v>
      </c>
      <c r="D30" s="33" t="s">
        <v>20</v>
      </c>
      <c r="E30" s="34">
        <v>45226</v>
      </c>
      <c r="F30" s="35">
        <f t="shared" ca="1" si="0"/>
        <v>30.953947368421055</v>
      </c>
      <c r="G30" s="35">
        <v>30.921052631578949</v>
      </c>
      <c r="H30" s="32">
        <v>1</v>
      </c>
      <c r="I30" s="36">
        <v>455</v>
      </c>
      <c r="J30" s="37">
        <v>478.32</v>
      </c>
      <c r="K30" s="38">
        <v>1.101</v>
      </c>
      <c r="L30" s="39">
        <v>9.7000000000000003E-2</v>
      </c>
      <c r="M30" s="38">
        <f t="shared" si="1"/>
        <v>3.1907894736842106E-3</v>
      </c>
      <c r="N30" s="35">
        <v>17.2</v>
      </c>
      <c r="O30" s="36">
        <v>271</v>
      </c>
      <c r="P30" s="36"/>
      <c r="Q30" s="35">
        <v>26.5</v>
      </c>
      <c r="R30" s="33" t="s">
        <v>21</v>
      </c>
      <c r="S30" s="34"/>
      <c r="T30" s="32"/>
    </row>
    <row r="31" spans="1:20" s="40" customFormat="1" ht="14.25" customHeight="1" x14ac:dyDescent="0.3">
      <c r="A31" s="32">
        <v>30</v>
      </c>
      <c r="B31" s="32" t="s">
        <v>50</v>
      </c>
      <c r="C31" s="33" t="s">
        <v>19</v>
      </c>
      <c r="D31" s="33" t="s">
        <v>20</v>
      </c>
      <c r="E31" s="34">
        <v>45250</v>
      </c>
      <c r="F31" s="35">
        <f t="shared" ca="1" si="0"/>
        <v>30.164473684210527</v>
      </c>
      <c r="G31" s="35">
        <v>30.131578947368421</v>
      </c>
      <c r="H31" s="32">
        <v>1</v>
      </c>
      <c r="I31" s="36">
        <v>459</v>
      </c>
      <c r="J31" s="37">
        <v>475.86</v>
      </c>
      <c r="K31" s="38">
        <v>1.0149999999999999</v>
      </c>
      <c r="L31" s="39">
        <v>0.1099</v>
      </c>
      <c r="M31" s="38">
        <f t="shared" si="1"/>
        <v>3.6151315789473685E-3</v>
      </c>
      <c r="N31" s="35">
        <v>13.5</v>
      </c>
      <c r="O31" s="36">
        <v>255</v>
      </c>
      <c r="P31" s="36"/>
      <c r="Q31" s="35">
        <v>24.3</v>
      </c>
      <c r="R31" s="33" t="s">
        <v>21</v>
      </c>
      <c r="S31" s="34"/>
      <c r="T31" s="32"/>
    </row>
    <row r="32" spans="1:20" s="40" customFormat="1" ht="14.25" customHeight="1" x14ac:dyDescent="0.3">
      <c r="A32" s="31">
        <v>31</v>
      </c>
      <c r="B32" s="32" t="s">
        <v>51</v>
      </c>
      <c r="C32" s="33" t="s">
        <v>19</v>
      </c>
      <c r="D32" s="33" t="s">
        <v>20</v>
      </c>
      <c r="E32" s="34">
        <v>45287</v>
      </c>
      <c r="F32" s="35">
        <f t="shared" ca="1" si="0"/>
        <v>28.947368421052634</v>
      </c>
      <c r="G32" s="35">
        <v>28.914473684210527</v>
      </c>
      <c r="H32" s="32">
        <v>1</v>
      </c>
      <c r="I32" s="36">
        <v>471</v>
      </c>
      <c r="J32" s="37">
        <v>489.49</v>
      </c>
      <c r="K32" s="38">
        <v>1.07</v>
      </c>
      <c r="L32" s="39">
        <v>0.11509999999999999</v>
      </c>
      <c r="M32" s="38">
        <f t="shared" si="1"/>
        <v>3.7861842105263157E-3</v>
      </c>
      <c r="N32" s="35">
        <v>14.1</v>
      </c>
      <c r="O32" s="36">
        <v>276</v>
      </c>
      <c r="P32" s="36"/>
      <c r="Q32" s="35">
        <v>25.4</v>
      </c>
      <c r="R32" s="33" t="s">
        <v>21</v>
      </c>
      <c r="S32" s="34"/>
      <c r="T32" s="32"/>
    </row>
    <row r="33" spans="1:20" s="40" customFormat="1" ht="14.25" customHeight="1" x14ac:dyDescent="0.3">
      <c r="A33" s="32">
        <v>32</v>
      </c>
      <c r="B33" s="32" t="s">
        <v>52</v>
      </c>
      <c r="C33" s="33" t="s">
        <v>19</v>
      </c>
      <c r="D33" s="33" t="s">
        <v>20</v>
      </c>
      <c r="E33" s="34">
        <v>45270</v>
      </c>
      <c r="F33" s="35">
        <f t="shared" ca="1" si="0"/>
        <v>29.506578947368421</v>
      </c>
      <c r="G33" s="35">
        <v>29.473684210526319</v>
      </c>
      <c r="H33" s="32">
        <v>1</v>
      </c>
      <c r="I33" s="36">
        <v>478</v>
      </c>
      <c r="J33" s="37">
        <v>499.34</v>
      </c>
      <c r="K33" s="38">
        <v>1.1639999999999999</v>
      </c>
      <c r="L33" s="39">
        <v>0.1066</v>
      </c>
      <c r="M33" s="38">
        <f t="shared" si="1"/>
        <v>3.5065789473684213E-3</v>
      </c>
      <c r="N33" s="35">
        <v>16.899999999999999</v>
      </c>
      <c r="O33" s="36">
        <v>294</v>
      </c>
      <c r="P33" s="36"/>
      <c r="Q33" s="35">
        <v>26.8</v>
      </c>
      <c r="R33" s="33" t="s">
        <v>21</v>
      </c>
      <c r="S33" s="34"/>
      <c r="T33" s="32"/>
    </row>
    <row r="34" spans="1:20" s="40" customFormat="1" ht="14.25" customHeight="1" x14ac:dyDescent="0.3">
      <c r="A34" s="32">
        <v>33</v>
      </c>
      <c r="B34" s="32" t="s">
        <v>53</v>
      </c>
      <c r="C34" s="33" t="s">
        <v>19</v>
      </c>
      <c r="D34" s="33" t="s">
        <v>20</v>
      </c>
      <c r="E34" s="34">
        <v>45322</v>
      </c>
      <c r="F34" s="35">
        <f t="shared" ref="F34:F65" ca="1" si="2">IFERROR(IF(E34="","",(TODAY()-E34)/30.4),"")</f>
        <v>27.796052631578949</v>
      </c>
      <c r="G34" s="35">
        <v>27.763157894736842</v>
      </c>
      <c r="H34" s="32">
        <v>1</v>
      </c>
      <c r="I34" s="36">
        <v>472</v>
      </c>
      <c r="J34" s="37">
        <v>493.76</v>
      </c>
      <c r="K34" s="38">
        <v>1.123</v>
      </c>
      <c r="L34" s="39">
        <v>0.11020000000000001</v>
      </c>
      <c r="M34" s="38">
        <f t="shared" si="1"/>
        <v>3.6250000000000002E-3</v>
      </c>
      <c r="N34" s="35">
        <v>14.5</v>
      </c>
      <c r="O34" s="36">
        <v>266</v>
      </c>
      <c r="P34" s="36"/>
      <c r="Q34" s="35">
        <v>24.3</v>
      </c>
      <c r="R34" s="33" t="s">
        <v>21</v>
      </c>
      <c r="S34" s="34"/>
      <c r="T34" s="32"/>
    </row>
    <row r="35" spans="1:20" s="40" customFormat="1" ht="14.25" customHeight="1" x14ac:dyDescent="0.3">
      <c r="A35" s="32">
        <v>34</v>
      </c>
      <c r="B35" s="32" t="s">
        <v>54</v>
      </c>
      <c r="C35" s="33" t="s">
        <v>19</v>
      </c>
      <c r="D35" s="33" t="s">
        <v>20</v>
      </c>
      <c r="E35" s="34">
        <v>45342</v>
      </c>
      <c r="F35" s="35">
        <f t="shared" ca="1" si="2"/>
        <v>27.138157894736842</v>
      </c>
      <c r="G35" s="35">
        <v>27.10526315789474</v>
      </c>
      <c r="H35" s="32">
        <v>1</v>
      </c>
      <c r="I35" s="36">
        <v>481</v>
      </c>
      <c r="J35" s="37">
        <v>499.4</v>
      </c>
      <c r="K35" s="38">
        <v>1.0940000000000001</v>
      </c>
      <c r="L35" s="39">
        <v>0.1158</v>
      </c>
      <c r="M35" s="38">
        <f t="shared" si="1"/>
        <v>3.8092105263157895E-3</v>
      </c>
      <c r="N35" s="35">
        <v>12.9</v>
      </c>
      <c r="O35" s="36">
        <v>256</v>
      </c>
      <c r="P35" s="36"/>
      <c r="Q35" s="35">
        <v>22.2</v>
      </c>
      <c r="R35" s="33" t="s">
        <v>21</v>
      </c>
      <c r="S35" s="34"/>
      <c r="T35" s="32"/>
    </row>
    <row r="36" spans="1:20" s="40" customFormat="1" ht="14.25" customHeight="1" x14ac:dyDescent="0.3">
      <c r="A36" s="32">
        <v>35</v>
      </c>
      <c r="B36" s="32" t="s">
        <v>55</v>
      </c>
      <c r="C36" s="33" t="s">
        <v>19</v>
      </c>
      <c r="D36" s="33" t="s">
        <v>20</v>
      </c>
      <c r="E36" s="34">
        <v>45207</v>
      </c>
      <c r="F36" s="35">
        <f t="shared" ca="1" si="2"/>
        <v>31.578947368421055</v>
      </c>
      <c r="G36" s="35">
        <v>31.546052631578949</v>
      </c>
      <c r="H36" s="32">
        <v>1</v>
      </c>
      <c r="I36" s="36">
        <v>472</v>
      </c>
      <c r="J36" s="37">
        <v>482.7</v>
      </c>
      <c r="K36" s="38">
        <v>1.1080000000000001</v>
      </c>
      <c r="L36" s="39">
        <v>0.11269999999999999</v>
      </c>
      <c r="M36" s="38">
        <f t="shared" si="1"/>
        <v>3.7072368421052632E-3</v>
      </c>
      <c r="N36" s="35">
        <v>15.5</v>
      </c>
      <c r="O36" s="36">
        <v>285</v>
      </c>
      <c r="P36" s="36"/>
      <c r="Q36" s="35">
        <v>25.5</v>
      </c>
      <c r="R36" s="33" t="s">
        <v>21</v>
      </c>
      <c r="S36" s="34"/>
      <c r="T36" s="32"/>
    </row>
    <row r="37" spans="1:20" s="40" customFormat="1" ht="14.25" customHeight="1" x14ac:dyDescent="0.3">
      <c r="A37" s="32">
        <v>36</v>
      </c>
      <c r="B37" s="32" t="s">
        <v>56</v>
      </c>
      <c r="C37" s="33" t="s">
        <v>19</v>
      </c>
      <c r="D37" s="33" t="s">
        <v>20</v>
      </c>
      <c r="E37" s="34">
        <v>45238</v>
      </c>
      <c r="F37" s="35">
        <f t="shared" ca="1" si="2"/>
        <v>30.559210526315791</v>
      </c>
      <c r="G37" s="35">
        <v>30.526315789473685</v>
      </c>
      <c r="H37" s="32">
        <v>1</v>
      </c>
      <c r="I37" s="36">
        <v>475</v>
      </c>
      <c r="J37" s="37">
        <v>491.88</v>
      </c>
      <c r="K37" s="38">
        <v>1.159</v>
      </c>
      <c r="L37" s="39">
        <v>0.1148</v>
      </c>
      <c r="M37" s="38">
        <f t="shared" si="1"/>
        <v>3.7763157894736845E-3</v>
      </c>
      <c r="N37" s="35">
        <v>15.4</v>
      </c>
      <c r="O37" s="36">
        <v>286</v>
      </c>
      <c r="P37" s="36"/>
      <c r="Q37" s="35">
        <v>26.6</v>
      </c>
      <c r="R37" s="33" t="s">
        <v>21</v>
      </c>
      <c r="S37" s="34"/>
      <c r="T37" s="32"/>
    </row>
    <row r="38" spans="1:20" s="40" customFormat="1" ht="14.25" customHeight="1" x14ac:dyDescent="0.3">
      <c r="A38" s="31">
        <v>37</v>
      </c>
      <c r="B38" s="32" t="s">
        <v>57</v>
      </c>
      <c r="C38" s="33" t="s">
        <v>19</v>
      </c>
      <c r="D38" s="33" t="s">
        <v>20</v>
      </c>
      <c r="E38" s="34">
        <v>45182</v>
      </c>
      <c r="F38" s="35">
        <f t="shared" ca="1" si="2"/>
        <v>32.401315789473685</v>
      </c>
      <c r="G38" s="35">
        <v>32.368421052631582</v>
      </c>
      <c r="H38" s="32">
        <v>1</v>
      </c>
      <c r="I38" s="36">
        <v>467</v>
      </c>
      <c r="J38" s="37">
        <v>481.62</v>
      </c>
      <c r="K38" s="38">
        <v>1.1279999999999999</v>
      </c>
      <c r="L38" s="39">
        <v>0.1119</v>
      </c>
      <c r="M38" s="38">
        <f t="shared" si="1"/>
        <v>3.680921052631579E-3</v>
      </c>
      <c r="N38" s="35">
        <v>14.9</v>
      </c>
      <c r="O38" s="36">
        <v>269</v>
      </c>
      <c r="P38" s="36"/>
      <c r="Q38" s="35">
        <v>26.4</v>
      </c>
      <c r="R38" s="33" t="s">
        <v>21</v>
      </c>
      <c r="S38" s="34"/>
      <c r="T38" s="32"/>
    </row>
    <row r="39" spans="1:20" s="40" customFormat="1" ht="14.25" customHeight="1" x14ac:dyDescent="0.3">
      <c r="A39" s="32">
        <v>38</v>
      </c>
      <c r="B39" s="32" t="s">
        <v>58</v>
      </c>
      <c r="C39" s="33" t="s">
        <v>19</v>
      </c>
      <c r="D39" s="33" t="s">
        <v>20</v>
      </c>
      <c r="E39" s="34">
        <v>45240</v>
      </c>
      <c r="F39" s="35">
        <f t="shared" ca="1" si="2"/>
        <v>30.493421052631579</v>
      </c>
      <c r="G39" s="35">
        <v>30.460526315789476</v>
      </c>
      <c r="H39" s="32">
        <v>1</v>
      </c>
      <c r="I39" s="36">
        <v>479</v>
      </c>
      <c r="J39" s="37">
        <v>497.5</v>
      </c>
      <c r="K39" s="38">
        <v>1.1000000000000001</v>
      </c>
      <c r="L39" s="39">
        <v>0.11119999999999999</v>
      </c>
      <c r="M39" s="38">
        <f t="shared" si="1"/>
        <v>3.6578947368421052E-3</v>
      </c>
      <c r="N39" s="35">
        <v>14.9</v>
      </c>
      <c r="O39" s="36">
        <v>281</v>
      </c>
      <c r="P39" s="36"/>
      <c r="Q39" s="35">
        <v>24.3</v>
      </c>
      <c r="R39" s="33" t="s">
        <v>21</v>
      </c>
      <c r="S39" s="34"/>
      <c r="T39" s="32"/>
    </row>
    <row r="40" spans="1:20" s="40" customFormat="1" ht="14.25" customHeight="1" x14ac:dyDescent="0.3">
      <c r="A40" s="32">
        <v>39</v>
      </c>
      <c r="B40" s="32" t="s">
        <v>59</v>
      </c>
      <c r="C40" s="33" t="s">
        <v>19</v>
      </c>
      <c r="D40" s="33" t="s">
        <v>20</v>
      </c>
      <c r="E40" s="34">
        <v>45376</v>
      </c>
      <c r="F40" s="35">
        <f t="shared" ca="1" si="2"/>
        <v>26.019736842105264</v>
      </c>
      <c r="G40" s="35">
        <v>25.986842105263158</v>
      </c>
      <c r="H40" s="32">
        <v>1</v>
      </c>
      <c r="I40" s="36">
        <v>453</v>
      </c>
      <c r="J40" s="37">
        <v>484.15</v>
      </c>
      <c r="K40" s="38">
        <v>1.1220000000000001</v>
      </c>
      <c r="L40" s="39">
        <v>0.109</v>
      </c>
      <c r="M40" s="38">
        <f t="shared" si="1"/>
        <v>3.5855263157894739E-3</v>
      </c>
      <c r="N40" s="35">
        <v>14.9</v>
      </c>
      <c r="O40" s="36">
        <v>265</v>
      </c>
      <c r="P40" s="36"/>
      <c r="Q40" s="35">
        <v>24.9</v>
      </c>
      <c r="R40" s="33" t="s">
        <v>21</v>
      </c>
      <c r="S40" s="34"/>
      <c r="T40" s="32"/>
    </row>
    <row r="41" spans="1:20" s="40" customFormat="1" ht="14.25" customHeight="1" x14ac:dyDescent="0.3">
      <c r="A41" s="32">
        <v>40</v>
      </c>
      <c r="B41" s="32" t="s">
        <v>60</v>
      </c>
      <c r="C41" s="33" t="s">
        <v>19</v>
      </c>
      <c r="D41" s="33" t="s">
        <v>20</v>
      </c>
      <c r="E41" s="34">
        <v>45196</v>
      </c>
      <c r="F41" s="35">
        <f t="shared" ca="1" si="2"/>
        <v>31.940789473684212</v>
      </c>
      <c r="G41" s="35">
        <v>31.907894736842106</v>
      </c>
      <c r="H41" s="32">
        <v>1</v>
      </c>
      <c r="I41" s="36">
        <v>464</v>
      </c>
      <c r="J41" s="37">
        <v>479.41</v>
      </c>
      <c r="K41" s="38">
        <v>1.173</v>
      </c>
      <c r="L41" s="39">
        <v>0.1113</v>
      </c>
      <c r="M41" s="38">
        <f t="shared" si="1"/>
        <v>3.6611842105263156E-3</v>
      </c>
      <c r="N41" s="35">
        <v>16.3</v>
      </c>
      <c r="O41" s="36">
        <v>283</v>
      </c>
      <c r="P41" s="36"/>
      <c r="Q41" s="35">
        <v>27</v>
      </c>
      <c r="R41" s="33" t="s">
        <v>21</v>
      </c>
      <c r="S41" s="34"/>
      <c r="T41" s="32"/>
    </row>
    <row r="42" spans="1:20" s="40" customFormat="1" ht="14.25" customHeight="1" x14ac:dyDescent="0.3">
      <c r="A42" s="32">
        <v>41</v>
      </c>
      <c r="B42" s="32" t="s">
        <v>61</v>
      </c>
      <c r="C42" s="33" t="s">
        <v>19</v>
      </c>
      <c r="D42" s="33" t="s">
        <v>20</v>
      </c>
      <c r="E42" s="34">
        <v>45360</v>
      </c>
      <c r="F42" s="35">
        <f t="shared" ca="1" si="2"/>
        <v>26.546052631578949</v>
      </c>
      <c r="G42" s="35">
        <v>26.513157894736842</v>
      </c>
      <c r="H42" s="32">
        <v>1</v>
      </c>
      <c r="I42" s="36">
        <v>455</v>
      </c>
      <c r="J42" s="37">
        <v>488.15</v>
      </c>
      <c r="K42" s="38">
        <v>1.0489999999999999</v>
      </c>
      <c r="L42" s="39">
        <v>9.8000000000000004E-2</v>
      </c>
      <c r="M42" s="38">
        <f t="shared" si="1"/>
        <v>3.2236842105263161E-3</v>
      </c>
      <c r="N42" s="35">
        <v>14.6</v>
      </c>
      <c r="O42" s="36">
        <v>246</v>
      </c>
      <c r="P42" s="36"/>
      <c r="Q42" s="35">
        <v>23.7</v>
      </c>
      <c r="R42" s="33" t="s">
        <v>21</v>
      </c>
      <c r="S42" s="34"/>
      <c r="T42" s="32"/>
    </row>
    <row r="43" spans="1:20" s="40" customFormat="1" ht="14.25" customHeight="1" x14ac:dyDescent="0.3">
      <c r="A43" s="32">
        <v>42</v>
      </c>
      <c r="B43" s="32" t="s">
        <v>62</v>
      </c>
      <c r="C43" s="33" t="s">
        <v>19</v>
      </c>
      <c r="D43" s="33" t="s">
        <v>20</v>
      </c>
      <c r="E43" s="34">
        <v>45235</v>
      </c>
      <c r="F43" s="35">
        <f t="shared" ca="1" si="2"/>
        <v>30.657894736842106</v>
      </c>
      <c r="G43" s="35">
        <v>30.625</v>
      </c>
      <c r="H43" s="32">
        <v>1</v>
      </c>
      <c r="I43" s="36">
        <v>476</v>
      </c>
      <c r="J43" s="37">
        <v>498.46</v>
      </c>
      <c r="K43" s="38">
        <v>1.151</v>
      </c>
      <c r="L43" s="39">
        <v>0.1135</v>
      </c>
      <c r="M43" s="38">
        <f t="shared" si="1"/>
        <v>3.7335526315789478E-3</v>
      </c>
      <c r="N43" s="35">
        <v>14.1</v>
      </c>
      <c r="O43" s="36">
        <v>263</v>
      </c>
      <c r="P43" s="36"/>
      <c r="Q43" s="35">
        <v>24.1</v>
      </c>
      <c r="R43" s="33" t="s">
        <v>21</v>
      </c>
      <c r="S43" s="34"/>
      <c r="T43" s="32"/>
    </row>
    <row r="44" spans="1:20" s="40" customFormat="1" ht="14.25" customHeight="1" x14ac:dyDescent="0.3">
      <c r="A44" s="31">
        <v>43</v>
      </c>
      <c r="B44" s="32" t="s">
        <v>63</v>
      </c>
      <c r="C44" s="33" t="s">
        <v>19</v>
      </c>
      <c r="D44" s="33" t="s">
        <v>20</v>
      </c>
      <c r="E44" s="34">
        <v>45325</v>
      </c>
      <c r="F44" s="35">
        <f t="shared" ca="1" si="2"/>
        <v>27.697368421052634</v>
      </c>
      <c r="G44" s="35">
        <v>27.664473684210527</v>
      </c>
      <c r="H44" s="32">
        <v>1</v>
      </c>
      <c r="I44" s="36">
        <v>465</v>
      </c>
      <c r="J44" s="37">
        <v>491.78</v>
      </c>
      <c r="K44" s="38">
        <v>1.1160000000000001</v>
      </c>
      <c r="L44" s="39">
        <v>0.1082</v>
      </c>
      <c r="M44" s="38">
        <f t="shared" si="1"/>
        <v>3.5592105263157897E-3</v>
      </c>
      <c r="N44" s="35">
        <v>13.9</v>
      </c>
      <c r="O44" s="36">
        <v>250</v>
      </c>
      <c r="P44" s="36"/>
      <c r="Q44" s="35">
        <v>25.2</v>
      </c>
      <c r="R44" s="33" t="s">
        <v>21</v>
      </c>
      <c r="S44" s="34"/>
      <c r="T44" s="32"/>
    </row>
    <row r="45" spans="1:20" s="40" customFormat="1" ht="14.25" customHeight="1" x14ac:dyDescent="0.3">
      <c r="A45" s="32">
        <v>44</v>
      </c>
      <c r="B45" s="32" t="s">
        <v>64</v>
      </c>
      <c r="C45" s="33" t="s">
        <v>19</v>
      </c>
      <c r="D45" s="33" t="s">
        <v>20</v>
      </c>
      <c r="E45" s="34">
        <v>45291</v>
      </c>
      <c r="F45" s="35">
        <f t="shared" ca="1" si="2"/>
        <v>28.815789473684212</v>
      </c>
      <c r="G45" s="35">
        <v>28.782894736842106</v>
      </c>
      <c r="H45" s="32">
        <v>1</v>
      </c>
      <c r="I45" s="36">
        <v>442</v>
      </c>
      <c r="J45" s="37">
        <v>465.98</v>
      </c>
      <c r="K45" s="38">
        <v>1.1579999999999999</v>
      </c>
      <c r="L45" s="39">
        <v>0.11559999999999999</v>
      </c>
      <c r="M45" s="38">
        <f t="shared" si="1"/>
        <v>3.8026315789473682E-3</v>
      </c>
      <c r="N45" s="35">
        <v>14.3</v>
      </c>
      <c r="O45" s="36">
        <v>254</v>
      </c>
      <c r="P45" s="36"/>
      <c r="Q45" s="35">
        <v>24.2</v>
      </c>
      <c r="R45" s="33" t="s">
        <v>21</v>
      </c>
      <c r="S45" s="34"/>
      <c r="T45" s="32"/>
    </row>
    <row r="46" spans="1:20" s="40" customFormat="1" ht="14.25" customHeight="1" x14ac:dyDescent="0.3">
      <c r="A46" s="32">
        <v>45</v>
      </c>
      <c r="B46" s="32" t="s">
        <v>65</v>
      </c>
      <c r="C46" s="33" t="s">
        <v>19</v>
      </c>
      <c r="D46" s="33" t="s">
        <v>20</v>
      </c>
      <c r="E46" s="34">
        <v>45324</v>
      </c>
      <c r="F46" s="35">
        <f t="shared" ca="1" si="2"/>
        <v>27.73026315789474</v>
      </c>
      <c r="G46" s="35">
        <v>27.697368421052634</v>
      </c>
      <c r="H46" s="32">
        <v>1</v>
      </c>
      <c r="I46" s="36">
        <v>457</v>
      </c>
      <c r="J46" s="37">
        <v>476.8</v>
      </c>
      <c r="K46" s="38">
        <v>1.127</v>
      </c>
      <c r="L46" s="39">
        <v>0.1142</v>
      </c>
      <c r="M46" s="38">
        <f t="shared" si="1"/>
        <v>3.7565789473684211E-3</v>
      </c>
      <c r="N46" s="35">
        <v>13.8</v>
      </c>
      <c r="O46" s="36">
        <v>252</v>
      </c>
      <c r="P46" s="36"/>
      <c r="Q46" s="35">
        <v>23.2</v>
      </c>
      <c r="R46" s="33" t="s">
        <v>21</v>
      </c>
      <c r="S46" s="34"/>
      <c r="T46" s="32"/>
    </row>
    <row r="47" spans="1:20" s="40" customFormat="1" ht="14.25" customHeight="1" x14ac:dyDescent="0.3">
      <c r="A47" s="32">
        <v>46</v>
      </c>
      <c r="B47" s="32" t="s">
        <v>66</v>
      </c>
      <c r="C47" s="33" t="s">
        <v>19</v>
      </c>
      <c r="D47" s="33" t="s">
        <v>20</v>
      </c>
      <c r="E47" s="34">
        <v>45209</v>
      </c>
      <c r="F47" s="35">
        <f t="shared" ca="1" si="2"/>
        <v>31.513157894736842</v>
      </c>
      <c r="G47" s="35">
        <v>31.48026315789474</v>
      </c>
      <c r="H47" s="32">
        <v>1</v>
      </c>
      <c r="I47" s="36">
        <v>467</v>
      </c>
      <c r="J47" s="37">
        <v>478.09</v>
      </c>
      <c r="K47" s="38">
        <v>1.0549999999999999</v>
      </c>
      <c r="L47" s="39">
        <v>0.1147</v>
      </c>
      <c r="M47" s="38">
        <f t="shared" si="1"/>
        <v>3.7730263157894736E-3</v>
      </c>
      <c r="N47" s="35">
        <v>13.1</v>
      </c>
      <c r="O47" s="36">
        <v>253</v>
      </c>
      <c r="P47" s="36"/>
      <c r="Q47" s="35">
        <v>22.5</v>
      </c>
      <c r="R47" s="33" t="s">
        <v>21</v>
      </c>
      <c r="S47" s="34"/>
      <c r="T47" s="32"/>
    </row>
    <row r="48" spans="1:20" s="40" customFormat="1" ht="14.25" customHeight="1" x14ac:dyDescent="0.3">
      <c r="A48" s="32">
        <v>47</v>
      </c>
      <c r="B48" s="32" t="s">
        <v>67</v>
      </c>
      <c r="C48" s="33" t="s">
        <v>19</v>
      </c>
      <c r="D48" s="33" t="s">
        <v>20</v>
      </c>
      <c r="E48" s="34">
        <v>45181</v>
      </c>
      <c r="F48" s="35">
        <f t="shared" ca="1" si="2"/>
        <v>32.434210526315788</v>
      </c>
      <c r="G48" s="35">
        <v>32.401315789473685</v>
      </c>
      <c r="H48" s="32">
        <v>1</v>
      </c>
      <c r="I48" s="36">
        <v>474</v>
      </c>
      <c r="J48" s="37">
        <v>496.4</v>
      </c>
      <c r="K48" s="38">
        <v>1.1990000000000001</v>
      </c>
      <c r="L48" s="39">
        <v>0.1087</v>
      </c>
      <c r="M48" s="38">
        <f t="shared" si="1"/>
        <v>3.5756578947368422E-3</v>
      </c>
      <c r="N48" s="35">
        <v>15.8</v>
      </c>
      <c r="O48" s="36">
        <v>274</v>
      </c>
      <c r="P48" s="36"/>
      <c r="Q48" s="35">
        <v>25.1</v>
      </c>
      <c r="R48" s="33" t="s">
        <v>21</v>
      </c>
      <c r="S48" s="34"/>
      <c r="T48" s="32"/>
    </row>
    <row r="49" spans="1:20" s="40" customFormat="1" ht="14.25" customHeight="1" x14ac:dyDescent="0.3">
      <c r="A49" s="32">
        <v>48</v>
      </c>
      <c r="B49" s="32" t="s">
        <v>68</v>
      </c>
      <c r="C49" s="33" t="s">
        <v>19</v>
      </c>
      <c r="D49" s="33" t="s">
        <v>20</v>
      </c>
      <c r="E49" s="34">
        <v>45189</v>
      </c>
      <c r="F49" s="35">
        <f t="shared" ca="1" si="2"/>
        <v>32.171052631578952</v>
      </c>
      <c r="G49" s="35">
        <v>32.138157894736842</v>
      </c>
      <c r="H49" s="32">
        <v>1</v>
      </c>
      <c r="I49" s="36">
        <v>455</v>
      </c>
      <c r="J49" s="37">
        <v>473.75</v>
      </c>
      <c r="K49" s="38">
        <v>1.077</v>
      </c>
      <c r="L49" s="39">
        <v>0.1062</v>
      </c>
      <c r="M49" s="38">
        <f t="shared" si="1"/>
        <v>3.4934210526315792E-3</v>
      </c>
      <c r="N49" s="35">
        <v>15.3</v>
      </c>
      <c r="O49" s="36">
        <v>266</v>
      </c>
      <c r="P49" s="36"/>
      <c r="Q49" s="35">
        <v>26</v>
      </c>
      <c r="R49" s="33" t="s">
        <v>21</v>
      </c>
      <c r="S49" s="34"/>
      <c r="T49" s="32"/>
    </row>
    <row r="50" spans="1:20" s="40" customFormat="1" ht="14.25" customHeight="1" x14ac:dyDescent="0.3">
      <c r="A50" s="32">
        <v>49</v>
      </c>
      <c r="B50" s="32" t="s">
        <v>69</v>
      </c>
      <c r="C50" s="33" t="s">
        <v>19</v>
      </c>
      <c r="D50" s="33" t="s">
        <v>20</v>
      </c>
      <c r="E50" s="34">
        <v>45227</v>
      </c>
      <c r="F50" s="35">
        <f t="shared" ca="1" si="2"/>
        <v>30.921052631578949</v>
      </c>
      <c r="G50" s="35">
        <v>30.888157894736842</v>
      </c>
      <c r="H50" s="32">
        <v>1</v>
      </c>
      <c r="I50" s="36">
        <v>471</v>
      </c>
      <c r="J50" s="37">
        <v>494.73</v>
      </c>
      <c r="K50" s="38">
        <v>1.0529999999999999</v>
      </c>
      <c r="L50" s="39">
        <v>9.8599999999999993E-2</v>
      </c>
      <c r="M50" s="38">
        <f t="shared" si="1"/>
        <v>3.243421052631579E-3</v>
      </c>
      <c r="N50" s="35">
        <v>15</v>
      </c>
      <c r="O50" s="36">
        <v>258</v>
      </c>
      <c r="P50" s="36"/>
      <c r="Q50" s="35">
        <v>25.2</v>
      </c>
      <c r="R50" s="33" t="s">
        <v>21</v>
      </c>
      <c r="S50" s="34"/>
      <c r="T50" s="32"/>
    </row>
    <row r="51" spans="1:20" s="40" customFormat="1" ht="14.25" customHeight="1" x14ac:dyDescent="0.3">
      <c r="A51" s="32">
        <v>50</v>
      </c>
      <c r="B51" s="32" t="s">
        <v>70</v>
      </c>
      <c r="C51" s="33" t="s">
        <v>19</v>
      </c>
      <c r="D51" s="33" t="s">
        <v>20</v>
      </c>
      <c r="E51" s="34">
        <v>45258</v>
      </c>
      <c r="F51" s="35">
        <f t="shared" ca="1" si="2"/>
        <v>29.901315789473685</v>
      </c>
      <c r="G51" s="35">
        <v>29.868421052631579</v>
      </c>
      <c r="H51" s="32">
        <v>1</v>
      </c>
      <c r="I51" s="36">
        <v>467</v>
      </c>
      <c r="J51" s="37">
        <v>483.16</v>
      </c>
      <c r="K51" s="38">
        <v>1.147</v>
      </c>
      <c r="L51" s="39">
        <v>0.1084</v>
      </c>
      <c r="M51" s="38">
        <f t="shared" si="1"/>
        <v>3.5657894736842105E-3</v>
      </c>
      <c r="N51" s="35">
        <v>16</v>
      </c>
      <c r="O51" s="36">
        <v>277</v>
      </c>
      <c r="P51" s="36"/>
      <c r="Q51" s="35">
        <v>27.4</v>
      </c>
      <c r="R51" s="33" t="s">
        <v>21</v>
      </c>
      <c r="S51" s="34"/>
      <c r="T51" s="32"/>
    </row>
    <row r="52" spans="1:20" s="40" customFormat="1" ht="14.25" customHeight="1" x14ac:dyDescent="0.3">
      <c r="A52" s="32">
        <v>51</v>
      </c>
      <c r="B52" s="32" t="s">
        <v>71</v>
      </c>
      <c r="C52" s="33" t="s">
        <v>19</v>
      </c>
      <c r="D52" s="33" t="s">
        <v>20</v>
      </c>
      <c r="E52" s="34">
        <v>45288</v>
      </c>
      <c r="F52" s="35">
        <f t="shared" ca="1" si="2"/>
        <v>28.914473684210527</v>
      </c>
      <c r="G52" s="35">
        <v>28.881578947368421</v>
      </c>
      <c r="H52" s="32">
        <v>1</v>
      </c>
      <c r="I52" s="36">
        <v>459</v>
      </c>
      <c r="J52" s="37">
        <v>480.84</v>
      </c>
      <c r="K52" s="38">
        <v>1.105</v>
      </c>
      <c r="L52" s="39">
        <v>0.11360000000000001</v>
      </c>
      <c r="M52" s="38">
        <f t="shared" si="1"/>
        <v>3.7368421052631582E-3</v>
      </c>
      <c r="N52" s="35">
        <v>15</v>
      </c>
      <c r="O52" s="36">
        <v>278</v>
      </c>
      <c r="P52" s="36"/>
      <c r="Q52" s="35">
        <v>24.4</v>
      </c>
      <c r="R52" s="33" t="s">
        <v>21</v>
      </c>
      <c r="S52" s="34"/>
      <c r="T52" s="32"/>
    </row>
    <row r="53" spans="1:20" s="40" customFormat="1" ht="14.25" customHeight="1" x14ac:dyDescent="0.3">
      <c r="A53" s="32">
        <v>52</v>
      </c>
      <c r="B53" s="32" t="s">
        <v>72</v>
      </c>
      <c r="C53" s="33" t="s">
        <v>19</v>
      </c>
      <c r="D53" s="33" t="s">
        <v>20</v>
      </c>
      <c r="E53" s="34">
        <v>45208</v>
      </c>
      <c r="F53" s="35">
        <f t="shared" ca="1" si="2"/>
        <v>31.546052631578949</v>
      </c>
      <c r="G53" s="35">
        <v>31.513157894736842</v>
      </c>
      <c r="H53" s="32">
        <v>1</v>
      </c>
      <c r="I53" s="36">
        <v>464</v>
      </c>
      <c r="J53" s="37">
        <v>486.82</v>
      </c>
      <c r="K53" s="38">
        <v>1.03</v>
      </c>
      <c r="L53" s="39">
        <v>0.1037</v>
      </c>
      <c r="M53" s="38">
        <f t="shared" si="1"/>
        <v>3.4111842105263158E-3</v>
      </c>
      <c r="N53" s="35">
        <v>14.6</v>
      </c>
      <c r="O53" s="36">
        <v>263</v>
      </c>
      <c r="P53" s="36"/>
      <c r="Q53" s="35">
        <v>25.4</v>
      </c>
      <c r="R53" s="33" t="s">
        <v>21</v>
      </c>
      <c r="S53" s="34"/>
      <c r="T53" s="32"/>
    </row>
    <row r="54" spans="1:20" s="40" customFormat="1" ht="14.25" customHeight="1" x14ac:dyDescent="0.3">
      <c r="A54" s="32">
        <v>53</v>
      </c>
      <c r="B54" s="32" t="s">
        <v>73</v>
      </c>
      <c r="C54" s="33" t="s">
        <v>19</v>
      </c>
      <c r="D54" s="33" t="s">
        <v>20</v>
      </c>
      <c r="E54" s="34">
        <v>45344</v>
      </c>
      <c r="F54" s="35">
        <f t="shared" ca="1" si="2"/>
        <v>27.072368421052634</v>
      </c>
      <c r="G54" s="35">
        <v>27.039473684210527</v>
      </c>
      <c r="H54" s="32">
        <v>1</v>
      </c>
      <c r="I54" s="36">
        <v>457</v>
      </c>
      <c r="J54" s="37">
        <v>487.13</v>
      </c>
      <c r="K54" s="38">
        <v>1.151</v>
      </c>
      <c r="L54" s="39">
        <v>0.10979999999999999</v>
      </c>
      <c r="M54" s="38">
        <f t="shared" si="1"/>
        <v>3.6118421052631581E-3</v>
      </c>
      <c r="N54" s="35">
        <v>15.5</v>
      </c>
      <c r="O54" s="36">
        <v>273</v>
      </c>
      <c r="P54" s="36"/>
      <c r="Q54" s="35">
        <v>24.9</v>
      </c>
      <c r="R54" s="33" t="s">
        <v>21</v>
      </c>
      <c r="S54" s="34"/>
      <c r="T54" s="32"/>
    </row>
    <row r="55" spans="1:20" s="40" customFormat="1" ht="14.25" customHeight="1" x14ac:dyDescent="0.3">
      <c r="A55" s="32">
        <v>54</v>
      </c>
      <c r="B55" s="32" t="s">
        <v>74</v>
      </c>
      <c r="C55" s="33" t="s">
        <v>19</v>
      </c>
      <c r="D55" s="33" t="s">
        <v>20</v>
      </c>
      <c r="E55" s="34">
        <v>45174</v>
      </c>
      <c r="F55" s="35">
        <f t="shared" ca="1" si="2"/>
        <v>32.664473684210527</v>
      </c>
      <c r="G55" s="35">
        <v>32.631578947368425</v>
      </c>
      <c r="H55" s="32">
        <v>1</v>
      </c>
      <c r="I55" s="36">
        <v>481</v>
      </c>
      <c r="J55" s="37">
        <v>495.95</v>
      </c>
      <c r="K55" s="38">
        <v>1.115</v>
      </c>
      <c r="L55" s="39">
        <v>0.1095</v>
      </c>
      <c r="M55" s="38">
        <f t="shared" si="1"/>
        <v>3.6019736842105264E-3</v>
      </c>
      <c r="N55" s="35">
        <v>14.8</v>
      </c>
      <c r="O55" s="36">
        <v>272</v>
      </c>
      <c r="P55" s="36"/>
      <c r="Q55" s="35">
        <v>25.6</v>
      </c>
      <c r="R55" s="33" t="s">
        <v>21</v>
      </c>
      <c r="S55" s="34"/>
      <c r="T55" s="32"/>
    </row>
    <row r="56" spans="1:20" s="40" customFormat="1" ht="14.25" customHeight="1" x14ac:dyDescent="0.3">
      <c r="A56" s="32">
        <v>55</v>
      </c>
      <c r="B56" s="32" t="s">
        <v>75</v>
      </c>
      <c r="C56" s="33" t="s">
        <v>19</v>
      </c>
      <c r="D56" s="33" t="s">
        <v>20</v>
      </c>
      <c r="E56" s="34">
        <v>45183</v>
      </c>
      <c r="F56" s="35">
        <f t="shared" ca="1" si="2"/>
        <v>32.368421052631582</v>
      </c>
      <c r="G56" s="35">
        <v>32.335526315789473</v>
      </c>
      <c r="H56" s="32">
        <v>1</v>
      </c>
      <c r="I56" s="36">
        <v>477</v>
      </c>
      <c r="J56" s="37">
        <v>487.66</v>
      </c>
      <c r="K56" s="38">
        <v>1.1259999999999999</v>
      </c>
      <c r="L56" s="39">
        <v>0.1095</v>
      </c>
      <c r="M56" s="38">
        <f t="shared" si="1"/>
        <v>3.6019736842105264E-3</v>
      </c>
      <c r="N56" s="35">
        <v>16</v>
      </c>
      <c r="O56" s="36">
        <v>285</v>
      </c>
      <c r="P56" s="36"/>
      <c r="Q56" s="35">
        <v>25.2</v>
      </c>
      <c r="R56" s="33" t="s">
        <v>21</v>
      </c>
      <c r="S56" s="34"/>
      <c r="T56" s="32"/>
    </row>
    <row r="57" spans="1:20" s="40" customFormat="1" ht="14.25" customHeight="1" x14ac:dyDescent="0.3">
      <c r="A57" s="32">
        <v>56</v>
      </c>
      <c r="B57" s="32" t="s">
        <v>76</v>
      </c>
      <c r="C57" s="33" t="s">
        <v>19</v>
      </c>
      <c r="D57" s="33" t="s">
        <v>20</v>
      </c>
      <c r="E57" s="34">
        <v>45173</v>
      </c>
      <c r="F57" s="35">
        <f t="shared" ca="1" si="2"/>
        <v>32.69736842105263</v>
      </c>
      <c r="G57" s="35">
        <v>32.664473684210527</v>
      </c>
      <c r="H57" s="32">
        <v>1</v>
      </c>
      <c r="I57" s="36">
        <v>484</v>
      </c>
      <c r="J57" s="37">
        <v>491.98</v>
      </c>
      <c r="K57" s="38">
        <v>1.1140000000000001</v>
      </c>
      <c r="L57" s="39">
        <v>0.1162</v>
      </c>
      <c r="M57" s="38">
        <f t="shared" si="1"/>
        <v>3.8223684210526316E-3</v>
      </c>
      <c r="N57" s="35">
        <v>13.9</v>
      </c>
      <c r="O57" s="36">
        <v>268</v>
      </c>
      <c r="P57" s="36"/>
      <c r="Q57" s="35">
        <v>24</v>
      </c>
      <c r="R57" s="33" t="s">
        <v>21</v>
      </c>
      <c r="S57" s="34"/>
      <c r="T57" s="32"/>
    </row>
    <row r="58" spans="1:20" s="40" customFormat="1" ht="14.25" customHeight="1" x14ac:dyDescent="0.3">
      <c r="A58" s="32">
        <v>57</v>
      </c>
      <c r="B58" s="32" t="s">
        <v>77</v>
      </c>
      <c r="C58" s="33" t="s">
        <v>19</v>
      </c>
      <c r="D58" s="33" t="s">
        <v>20</v>
      </c>
      <c r="E58" s="34">
        <v>45279</v>
      </c>
      <c r="F58" s="35">
        <f t="shared" ca="1" si="2"/>
        <v>29.210526315789476</v>
      </c>
      <c r="G58" s="35">
        <v>29.17763157894737</v>
      </c>
      <c r="H58" s="32">
        <v>1</v>
      </c>
      <c r="I58" s="36">
        <v>457</v>
      </c>
      <c r="J58" s="37">
        <v>479.24</v>
      </c>
      <c r="K58" s="38">
        <v>1.0900000000000001</v>
      </c>
      <c r="L58" s="39">
        <v>0.10730000000000001</v>
      </c>
      <c r="M58" s="38">
        <f t="shared" si="1"/>
        <v>3.5296052631578951E-3</v>
      </c>
      <c r="N58" s="35">
        <v>16.100000000000001</v>
      </c>
      <c r="O58" s="36">
        <v>283</v>
      </c>
      <c r="P58" s="36"/>
      <c r="Q58" s="35">
        <v>25.2</v>
      </c>
      <c r="R58" s="33" t="s">
        <v>21</v>
      </c>
      <c r="S58" s="34"/>
      <c r="T58" s="32"/>
    </row>
    <row r="59" spans="1:20" s="40" customFormat="1" ht="14.25" customHeight="1" x14ac:dyDescent="0.3">
      <c r="A59" s="32">
        <v>58</v>
      </c>
      <c r="B59" s="32" t="s">
        <v>78</v>
      </c>
      <c r="C59" s="33" t="s">
        <v>19</v>
      </c>
      <c r="D59" s="33" t="s">
        <v>20</v>
      </c>
      <c r="E59" s="34">
        <v>45221</v>
      </c>
      <c r="F59" s="35">
        <f t="shared" ca="1" si="2"/>
        <v>31.118421052631579</v>
      </c>
      <c r="G59" s="35">
        <v>31.085526315789476</v>
      </c>
      <c r="H59" s="32">
        <v>1</v>
      </c>
      <c r="I59" s="36">
        <v>467</v>
      </c>
      <c r="J59" s="37">
        <v>484.06</v>
      </c>
      <c r="K59" s="38">
        <v>1.056</v>
      </c>
      <c r="L59" s="39">
        <v>0.10150000000000001</v>
      </c>
      <c r="M59" s="38">
        <f t="shared" si="1"/>
        <v>3.3388157894736845E-3</v>
      </c>
      <c r="N59" s="35">
        <v>16.100000000000001</v>
      </c>
      <c r="O59" s="36">
        <v>276</v>
      </c>
      <c r="P59" s="36"/>
      <c r="Q59" s="35">
        <v>25.3</v>
      </c>
      <c r="R59" s="33" t="s">
        <v>21</v>
      </c>
      <c r="S59" s="34"/>
      <c r="T59" s="32"/>
    </row>
    <row r="60" spans="1:20" s="40" customFormat="1" ht="14.25" customHeight="1" x14ac:dyDescent="0.3">
      <c r="A60" s="31">
        <v>59</v>
      </c>
      <c r="B60" s="32" t="s">
        <v>79</v>
      </c>
      <c r="C60" s="33" t="s">
        <v>19</v>
      </c>
      <c r="D60" s="33" t="s">
        <v>20</v>
      </c>
      <c r="E60" s="34">
        <v>45384</v>
      </c>
      <c r="F60" s="35">
        <f t="shared" ca="1" si="2"/>
        <v>25.756578947368421</v>
      </c>
      <c r="G60" s="35">
        <v>25.723684210526319</v>
      </c>
      <c r="H60" s="32">
        <v>1</v>
      </c>
      <c r="I60" s="36">
        <v>462</v>
      </c>
      <c r="J60" s="37">
        <v>496.87</v>
      </c>
      <c r="K60" s="38">
        <v>1.0900000000000001</v>
      </c>
      <c r="L60" s="39">
        <v>0.1074</v>
      </c>
      <c r="M60" s="38">
        <f t="shared" si="1"/>
        <v>3.5328947368421051E-3</v>
      </c>
      <c r="N60" s="35">
        <v>14.6</v>
      </c>
      <c r="O60" s="36">
        <v>268</v>
      </c>
      <c r="P60" s="36"/>
      <c r="Q60" s="35">
        <v>24</v>
      </c>
      <c r="R60" s="33" t="s">
        <v>21</v>
      </c>
      <c r="S60" s="34"/>
      <c r="T60" s="32"/>
    </row>
    <row r="61" spans="1:20" s="40" customFormat="1" ht="14.25" customHeight="1" x14ac:dyDescent="0.3">
      <c r="A61" s="31">
        <v>60</v>
      </c>
      <c r="B61" s="32" t="s">
        <v>80</v>
      </c>
      <c r="C61" s="33" t="s">
        <v>19</v>
      </c>
      <c r="D61" s="33" t="s">
        <v>20</v>
      </c>
      <c r="E61" s="34">
        <v>45408</v>
      </c>
      <c r="F61" s="35">
        <f t="shared" ca="1" si="2"/>
        <v>24.967105263157897</v>
      </c>
      <c r="G61" s="35">
        <v>24.934210526315791</v>
      </c>
      <c r="H61" s="32">
        <v>1</v>
      </c>
      <c r="I61" s="36">
        <v>453</v>
      </c>
      <c r="J61" s="37">
        <v>489.63</v>
      </c>
      <c r="K61" s="38">
        <v>1.075</v>
      </c>
      <c r="L61" s="39">
        <v>0.1047</v>
      </c>
      <c r="M61" s="38">
        <f t="shared" si="1"/>
        <v>3.4440789473684213E-3</v>
      </c>
      <c r="N61" s="35">
        <v>14.4</v>
      </c>
      <c r="O61" s="36">
        <v>256</v>
      </c>
      <c r="P61" s="36"/>
      <c r="Q61" s="35">
        <v>23.7</v>
      </c>
      <c r="R61" s="33" t="s">
        <v>21</v>
      </c>
      <c r="S61" s="34"/>
      <c r="T61" s="32"/>
    </row>
    <row r="62" spans="1:20" s="40" customFormat="1" ht="14.25" customHeight="1" x14ac:dyDescent="0.3">
      <c r="A62" s="31">
        <v>61</v>
      </c>
      <c r="B62" s="32" t="s">
        <v>81</v>
      </c>
      <c r="C62" s="33" t="s">
        <v>19</v>
      </c>
      <c r="D62" s="33" t="s">
        <v>20</v>
      </c>
      <c r="E62" s="34">
        <v>45314</v>
      </c>
      <c r="F62" s="35">
        <f t="shared" ca="1" si="2"/>
        <v>28.059210526315791</v>
      </c>
      <c r="G62" s="35">
        <v>28.026315789473685</v>
      </c>
      <c r="H62" s="32">
        <v>1</v>
      </c>
      <c r="I62" s="36">
        <v>463</v>
      </c>
      <c r="J62" s="37">
        <v>495.34</v>
      </c>
      <c r="K62" s="38">
        <v>1.1140000000000001</v>
      </c>
      <c r="L62" s="39">
        <v>0.1055</v>
      </c>
      <c r="M62" s="38">
        <f t="shared" si="1"/>
        <v>3.4703947368421055E-3</v>
      </c>
      <c r="N62" s="35">
        <v>15.4</v>
      </c>
      <c r="O62" s="36">
        <v>271</v>
      </c>
      <c r="P62" s="36"/>
      <c r="Q62" s="35">
        <v>26.2</v>
      </c>
      <c r="R62" s="33" t="s">
        <v>21</v>
      </c>
      <c r="S62" s="34"/>
      <c r="T62" s="32"/>
    </row>
    <row r="63" spans="1:20" s="40" customFormat="1" ht="14.25" customHeight="1" x14ac:dyDescent="0.3">
      <c r="A63" s="31">
        <v>62</v>
      </c>
      <c r="B63" s="32" t="s">
        <v>82</v>
      </c>
      <c r="C63" s="33" t="s">
        <v>19</v>
      </c>
      <c r="D63" s="33" t="s">
        <v>20</v>
      </c>
      <c r="E63" s="34">
        <v>45363</v>
      </c>
      <c r="F63" s="35">
        <f t="shared" ca="1" si="2"/>
        <v>26.447368421052634</v>
      </c>
      <c r="G63" s="35">
        <v>26.414473684210527</v>
      </c>
      <c r="H63" s="32">
        <v>1</v>
      </c>
      <c r="I63" s="36">
        <v>453</v>
      </c>
      <c r="J63" s="37">
        <v>480.98</v>
      </c>
      <c r="K63" s="38">
        <v>1.048</v>
      </c>
      <c r="L63" s="39">
        <v>0.11210000000000001</v>
      </c>
      <c r="M63" s="38">
        <f t="shared" si="1"/>
        <v>3.6875000000000002E-3</v>
      </c>
      <c r="N63" s="35">
        <v>14.7</v>
      </c>
      <c r="O63" s="36">
        <v>278</v>
      </c>
      <c r="P63" s="36"/>
      <c r="Q63" s="35">
        <v>23.9</v>
      </c>
      <c r="R63" s="33" t="s">
        <v>21</v>
      </c>
      <c r="S63" s="34"/>
      <c r="T63" s="32"/>
    </row>
    <row r="64" spans="1:20" s="40" customFormat="1" ht="14.25" customHeight="1" x14ac:dyDescent="0.3">
      <c r="A64" s="31">
        <v>63</v>
      </c>
      <c r="B64" s="32" t="s">
        <v>83</v>
      </c>
      <c r="C64" s="33" t="s">
        <v>19</v>
      </c>
      <c r="D64" s="33" t="s">
        <v>20</v>
      </c>
      <c r="E64" s="34">
        <v>45383</v>
      </c>
      <c r="F64" s="35">
        <f t="shared" ca="1" si="2"/>
        <v>25.789473684210527</v>
      </c>
      <c r="G64" s="35">
        <v>25.756578947368421</v>
      </c>
      <c r="H64" s="32">
        <v>1</v>
      </c>
      <c r="I64" s="36">
        <v>459</v>
      </c>
      <c r="J64" s="37">
        <v>487.61</v>
      </c>
      <c r="K64" s="38">
        <v>1.0920000000000001</v>
      </c>
      <c r="L64" s="39">
        <v>0.1111</v>
      </c>
      <c r="M64" s="38">
        <f t="shared" si="1"/>
        <v>3.6546052631578952E-3</v>
      </c>
      <c r="N64" s="35">
        <v>14.1</v>
      </c>
      <c r="O64" s="36">
        <v>261</v>
      </c>
      <c r="P64" s="36"/>
      <c r="Q64" s="35">
        <v>24.1</v>
      </c>
      <c r="R64" s="33" t="s">
        <v>21</v>
      </c>
      <c r="S64" s="34"/>
      <c r="T64" s="32"/>
    </row>
    <row r="65" spans="1:20" s="40" customFormat="1" ht="14.25" customHeight="1" x14ac:dyDescent="0.3">
      <c r="A65" s="31">
        <v>64</v>
      </c>
      <c r="B65" s="32" t="s">
        <v>84</v>
      </c>
      <c r="C65" s="33" t="s">
        <v>19</v>
      </c>
      <c r="D65" s="33" t="s">
        <v>20</v>
      </c>
      <c r="E65" s="34">
        <v>45204</v>
      </c>
      <c r="F65" s="35">
        <f t="shared" ca="1" si="2"/>
        <v>31.67763157894737</v>
      </c>
      <c r="G65" s="35">
        <v>31.644736842105264</v>
      </c>
      <c r="H65" s="32">
        <v>1</v>
      </c>
      <c r="I65" s="36">
        <v>478</v>
      </c>
      <c r="J65" s="37">
        <v>494.04</v>
      </c>
      <c r="K65" s="38">
        <v>1.1830000000000001</v>
      </c>
      <c r="L65" s="39">
        <v>0.10920000000000001</v>
      </c>
      <c r="M65" s="38">
        <f t="shared" si="1"/>
        <v>3.5921052631578952E-3</v>
      </c>
      <c r="N65" s="35">
        <v>15.7</v>
      </c>
      <c r="O65" s="36">
        <v>274</v>
      </c>
      <c r="P65" s="36"/>
      <c r="Q65" s="35">
        <v>25.8</v>
      </c>
      <c r="R65" s="33" t="s">
        <v>21</v>
      </c>
      <c r="S65" s="34"/>
      <c r="T65" s="32"/>
    </row>
    <row r="66" spans="1:20" s="40" customFormat="1" ht="14.25" customHeight="1" x14ac:dyDescent="0.3">
      <c r="A66" s="31">
        <v>65</v>
      </c>
      <c r="B66" s="32" t="s">
        <v>85</v>
      </c>
      <c r="C66" s="33" t="s">
        <v>19</v>
      </c>
      <c r="D66" s="33" t="s">
        <v>20</v>
      </c>
      <c r="E66" s="34">
        <v>45207</v>
      </c>
      <c r="F66" s="35">
        <f t="shared" ref="F66:F84" ca="1" si="3">IFERROR(IF(E66="","",(TODAY()-E66)/30.4),"")</f>
        <v>31.578947368421055</v>
      </c>
      <c r="G66" s="35">
        <v>31.546052631578949</v>
      </c>
      <c r="H66" s="32">
        <v>1</v>
      </c>
      <c r="I66" s="36">
        <v>443</v>
      </c>
      <c r="J66" s="37">
        <v>459.79</v>
      </c>
      <c r="K66" s="38">
        <v>0.998</v>
      </c>
      <c r="L66" s="39">
        <v>0.1095</v>
      </c>
      <c r="M66" s="38">
        <f t="shared" si="1"/>
        <v>3.6019736842105264E-3</v>
      </c>
      <c r="N66" s="35">
        <v>15.8</v>
      </c>
      <c r="O66" s="36">
        <v>284</v>
      </c>
      <c r="P66" s="36"/>
      <c r="Q66" s="35">
        <v>25.1</v>
      </c>
      <c r="R66" s="33" t="s">
        <v>21</v>
      </c>
      <c r="S66" s="34"/>
      <c r="T66" s="32"/>
    </row>
    <row r="67" spans="1:20" s="40" customFormat="1" ht="14.25" customHeight="1" x14ac:dyDescent="0.3">
      <c r="A67" s="31">
        <v>66</v>
      </c>
      <c r="B67" s="32" t="s">
        <v>86</v>
      </c>
      <c r="C67" s="33" t="s">
        <v>19</v>
      </c>
      <c r="D67" s="33" t="s">
        <v>20</v>
      </c>
      <c r="E67" s="34">
        <v>45238</v>
      </c>
      <c r="F67" s="35">
        <f t="shared" ca="1" si="3"/>
        <v>30.559210526315791</v>
      </c>
      <c r="G67" s="35">
        <v>30.526315789473685</v>
      </c>
      <c r="H67" s="32">
        <v>1</v>
      </c>
      <c r="I67" s="36">
        <v>443</v>
      </c>
      <c r="J67" s="37">
        <v>457.85</v>
      </c>
      <c r="K67" s="38">
        <v>1.05</v>
      </c>
      <c r="L67" s="39">
        <v>0.1114</v>
      </c>
      <c r="M67" s="38">
        <f t="shared" ref="M67:M84" si="4">L67/30.4</f>
        <v>3.6644736842105265E-3</v>
      </c>
      <c r="N67" s="35">
        <v>14.8</v>
      </c>
      <c r="O67" s="36">
        <v>264</v>
      </c>
      <c r="P67" s="36"/>
      <c r="Q67" s="35">
        <v>24.7</v>
      </c>
      <c r="R67" s="33" t="s">
        <v>21</v>
      </c>
      <c r="S67" s="34"/>
      <c r="T67" s="32"/>
    </row>
    <row r="68" spans="1:20" s="40" customFormat="1" ht="14.25" customHeight="1" x14ac:dyDescent="0.3">
      <c r="A68" s="31">
        <v>67</v>
      </c>
      <c r="B68" s="32" t="s">
        <v>87</v>
      </c>
      <c r="C68" s="33" t="s">
        <v>19</v>
      </c>
      <c r="D68" s="33" t="s">
        <v>20</v>
      </c>
      <c r="E68" s="34">
        <v>45407</v>
      </c>
      <c r="F68" s="35">
        <f t="shared" ca="1" si="3"/>
        <v>25</v>
      </c>
      <c r="G68" s="35">
        <v>24.967105263157897</v>
      </c>
      <c r="H68" s="32">
        <v>1</v>
      </c>
      <c r="I68" s="36">
        <v>456</v>
      </c>
      <c r="J68" s="37">
        <v>483.34</v>
      </c>
      <c r="K68" s="38">
        <v>1.1439999999999999</v>
      </c>
      <c r="L68" s="39">
        <v>0.1137</v>
      </c>
      <c r="M68" s="38">
        <f t="shared" si="4"/>
        <v>3.7401315789473686E-3</v>
      </c>
      <c r="N68" s="35">
        <v>14</v>
      </c>
      <c r="O68" s="36">
        <v>255</v>
      </c>
      <c r="P68" s="36"/>
      <c r="Q68" s="35">
        <v>24</v>
      </c>
      <c r="R68" s="33" t="s">
        <v>21</v>
      </c>
      <c r="S68" s="34"/>
      <c r="T68" s="32"/>
    </row>
    <row r="69" spans="1:20" s="40" customFormat="1" ht="14.25" customHeight="1" x14ac:dyDescent="0.3">
      <c r="A69" s="31">
        <v>68</v>
      </c>
      <c r="B69" s="32" t="s">
        <v>88</v>
      </c>
      <c r="C69" s="33" t="s">
        <v>19</v>
      </c>
      <c r="D69" s="33" t="s">
        <v>20</v>
      </c>
      <c r="E69" s="34">
        <v>45256</v>
      </c>
      <c r="F69" s="35">
        <f t="shared" ca="1" si="3"/>
        <v>29.967105263157897</v>
      </c>
      <c r="G69" s="35">
        <v>29.934210526315791</v>
      </c>
      <c r="H69" s="32">
        <v>1</v>
      </c>
      <c r="I69" s="36">
        <v>484</v>
      </c>
      <c r="J69" s="37">
        <v>507.13</v>
      </c>
      <c r="K69" s="38">
        <v>1.2090000000000001</v>
      </c>
      <c r="L69" s="39">
        <v>0.11260000000000001</v>
      </c>
      <c r="M69" s="38">
        <f t="shared" si="4"/>
        <v>3.7039473684210532E-3</v>
      </c>
      <c r="N69" s="35">
        <v>14.9</v>
      </c>
      <c r="O69" s="36">
        <v>271</v>
      </c>
      <c r="P69" s="36"/>
      <c r="Q69" s="35">
        <v>24.2</v>
      </c>
      <c r="R69" s="33" t="s">
        <v>21</v>
      </c>
      <c r="S69" s="34"/>
      <c r="T69" s="32"/>
    </row>
    <row r="71" spans="1:20" s="30" customFormat="1" ht="14.25" customHeight="1" x14ac:dyDescent="0.3">
      <c r="A71" s="21">
        <v>69</v>
      </c>
      <c r="B71" s="22" t="s">
        <v>89</v>
      </c>
      <c r="C71" s="23" t="s">
        <v>19</v>
      </c>
      <c r="D71" s="23" t="s">
        <v>90</v>
      </c>
      <c r="E71" s="24">
        <v>45582</v>
      </c>
      <c r="F71" s="25">
        <f t="shared" ca="1" si="3"/>
        <v>19.243421052631579</v>
      </c>
      <c r="G71" s="25">
        <v>19.210526315789476</v>
      </c>
      <c r="H71" s="22">
        <v>0</v>
      </c>
      <c r="I71" s="26">
        <v>438</v>
      </c>
      <c r="J71" s="27">
        <v>498.3</v>
      </c>
      <c r="K71" s="28">
        <v>1.008</v>
      </c>
      <c r="L71" s="29">
        <v>0.1077</v>
      </c>
      <c r="M71" s="28">
        <f t="shared" si="4"/>
        <v>3.5427631578947372E-3</v>
      </c>
      <c r="N71" s="25">
        <v>14.3</v>
      </c>
      <c r="O71" s="26">
        <v>277</v>
      </c>
      <c r="P71" s="26">
        <v>21</v>
      </c>
      <c r="Q71" s="25">
        <v>24.4</v>
      </c>
      <c r="R71" s="23" t="s">
        <v>21</v>
      </c>
      <c r="S71" s="24"/>
      <c r="T71" s="22"/>
    </row>
    <row r="72" spans="1:20" s="30" customFormat="1" ht="14.25" customHeight="1" x14ac:dyDescent="0.3">
      <c r="A72" s="21">
        <v>70</v>
      </c>
      <c r="B72" s="22" t="s">
        <v>91</v>
      </c>
      <c r="C72" s="23" t="s">
        <v>19</v>
      </c>
      <c r="D72" s="23" t="s">
        <v>90</v>
      </c>
      <c r="E72" s="24">
        <v>45567</v>
      </c>
      <c r="F72" s="25">
        <f t="shared" ca="1" si="3"/>
        <v>19.736842105263158</v>
      </c>
      <c r="G72" s="25">
        <v>19.703947368421055</v>
      </c>
      <c r="H72" s="22">
        <v>0</v>
      </c>
      <c r="I72" s="26">
        <v>423</v>
      </c>
      <c r="J72" s="27">
        <v>488.77</v>
      </c>
      <c r="K72" s="28">
        <v>1.1479999999999999</v>
      </c>
      <c r="L72" s="29">
        <v>0.1021</v>
      </c>
      <c r="M72" s="28">
        <f t="shared" si="4"/>
        <v>3.3585526315789475E-3</v>
      </c>
      <c r="N72" s="25">
        <v>16.2</v>
      </c>
      <c r="O72" s="26">
        <v>268</v>
      </c>
      <c r="P72" s="26">
        <v>0</v>
      </c>
      <c r="Q72" s="25">
        <v>25.5</v>
      </c>
      <c r="R72" s="23" t="s">
        <v>21</v>
      </c>
      <c r="S72" s="24"/>
      <c r="T72" s="22"/>
    </row>
    <row r="73" spans="1:20" s="30" customFormat="1" ht="14.25" customHeight="1" x14ac:dyDescent="0.3">
      <c r="A73" s="21">
        <v>71</v>
      </c>
      <c r="B73" s="22" t="s">
        <v>92</v>
      </c>
      <c r="C73" s="23" t="s">
        <v>19</v>
      </c>
      <c r="D73" s="23" t="s">
        <v>90</v>
      </c>
      <c r="E73" s="24">
        <v>45598</v>
      </c>
      <c r="F73" s="25">
        <f t="shared" ca="1" si="3"/>
        <v>18.717105263157897</v>
      </c>
      <c r="G73" s="25">
        <v>18.684210526315791</v>
      </c>
      <c r="H73" s="22">
        <v>0</v>
      </c>
      <c r="I73" s="26">
        <v>419</v>
      </c>
      <c r="J73" s="27">
        <v>475.16</v>
      </c>
      <c r="K73" s="28">
        <v>1.107</v>
      </c>
      <c r="L73" s="29">
        <v>0.1173</v>
      </c>
      <c r="M73" s="28">
        <f t="shared" si="4"/>
        <v>3.8585526315789475E-3</v>
      </c>
      <c r="N73" s="25">
        <v>14.6</v>
      </c>
      <c r="O73" s="26">
        <v>276</v>
      </c>
      <c r="P73" s="26">
        <v>42</v>
      </c>
      <c r="Q73" s="25">
        <v>25.2</v>
      </c>
      <c r="R73" s="23" t="s">
        <v>21</v>
      </c>
      <c r="S73" s="24"/>
      <c r="T73" s="22"/>
    </row>
    <row r="74" spans="1:20" s="30" customFormat="1" ht="14.25" customHeight="1" x14ac:dyDescent="0.3">
      <c r="A74" s="21">
        <v>72</v>
      </c>
      <c r="B74" s="22" t="s">
        <v>93</v>
      </c>
      <c r="C74" s="23" t="s">
        <v>19</v>
      </c>
      <c r="D74" s="23" t="s">
        <v>90</v>
      </c>
      <c r="E74" s="24">
        <v>45494</v>
      </c>
      <c r="F74" s="25">
        <f t="shared" ca="1" si="3"/>
        <v>22.138157894736842</v>
      </c>
      <c r="G74" s="25">
        <v>22.105263157894736</v>
      </c>
      <c r="H74" s="22">
        <v>0</v>
      </c>
      <c r="I74" s="26">
        <v>451</v>
      </c>
      <c r="J74" s="27">
        <v>495.61</v>
      </c>
      <c r="K74" s="28">
        <v>1.113</v>
      </c>
      <c r="L74" s="29">
        <v>0.1164</v>
      </c>
      <c r="M74" s="28">
        <f t="shared" si="4"/>
        <v>3.8289473684210529E-3</v>
      </c>
      <c r="N74" s="25">
        <v>14.2</v>
      </c>
      <c r="O74" s="26">
        <v>277</v>
      </c>
      <c r="P74" s="26">
        <v>0</v>
      </c>
      <c r="Q74" s="25">
        <v>23.4</v>
      </c>
      <c r="R74" s="23" t="s">
        <v>21</v>
      </c>
      <c r="S74" s="24"/>
      <c r="T74" s="22"/>
    </row>
    <row r="75" spans="1:20" s="30" customFormat="1" ht="14.25" customHeight="1" x14ac:dyDescent="0.3">
      <c r="A75" s="21">
        <v>73</v>
      </c>
      <c r="B75" s="22" t="s">
        <v>94</v>
      </c>
      <c r="C75" s="23" t="s">
        <v>19</v>
      </c>
      <c r="D75" s="23" t="s">
        <v>90</v>
      </c>
      <c r="E75" s="24">
        <v>45497</v>
      </c>
      <c r="F75" s="25">
        <f t="shared" ca="1" si="3"/>
        <v>22.039473684210527</v>
      </c>
      <c r="G75" s="25">
        <v>22.006578947368421</v>
      </c>
      <c r="H75" s="22">
        <v>0</v>
      </c>
      <c r="I75" s="26">
        <v>439</v>
      </c>
      <c r="J75" s="27">
        <v>486.58</v>
      </c>
      <c r="K75" s="28">
        <v>1.097</v>
      </c>
      <c r="L75" s="29">
        <v>0.1046</v>
      </c>
      <c r="M75" s="28">
        <f t="shared" si="4"/>
        <v>3.4407894736842104E-3</v>
      </c>
      <c r="N75" s="25">
        <v>15.2</v>
      </c>
      <c r="O75" s="26">
        <v>264</v>
      </c>
      <c r="P75" s="26">
        <v>21</v>
      </c>
      <c r="Q75" s="25">
        <v>25.1</v>
      </c>
      <c r="R75" s="23" t="s">
        <v>21</v>
      </c>
      <c r="S75" s="24"/>
      <c r="T75" s="22"/>
    </row>
    <row r="76" spans="1:20" s="30" customFormat="1" ht="14.25" customHeight="1" x14ac:dyDescent="0.3">
      <c r="A76" s="21">
        <v>74</v>
      </c>
      <c r="B76" s="22" t="s">
        <v>95</v>
      </c>
      <c r="C76" s="23" t="s">
        <v>19</v>
      </c>
      <c r="D76" s="23" t="s">
        <v>90</v>
      </c>
      <c r="E76" s="24">
        <v>45509</v>
      </c>
      <c r="F76" s="25">
        <f t="shared" ca="1" si="3"/>
        <v>21.644736842105264</v>
      </c>
      <c r="G76" s="25">
        <v>21.611842105263158</v>
      </c>
      <c r="H76" s="22">
        <v>0</v>
      </c>
      <c r="I76" s="26">
        <v>454</v>
      </c>
      <c r="J76" s="27">
        <v>505.25</v>
      </c>
      <c r="K76" s="28">
        <v>1.093</v>
      </c>
      <c r="L76" s="29">
        <v>0.1076</v>
      </c>
      <c r="M76" s="28">
        <f t="shared" si="4"/>
        <v>3.5394736842105264E-3</v>
      </c>
      <c r="N76" s="25">
        <v>15.6</v>
      </c>
      <c r="O76" s="26">
        <v>290</v>
      </c>
      <c r="P76" s="26">
        <v>42</v>
      </c>
      <c r="Q76" s="25">
        <v>26.2</v>
      </c>
      <c r="R76" s="23" t="s">
        <v>21</v>
      </c>
      <c r="S76" s="24"/>
      <c r="T76" s="22"/>
    </row>
    <row r="77" spans="1:20" s="30" customFormat="1" ht="14.25" customHeight="1" x14ac:dyDescent="0.3">
      <c r="A77" s="21">
        <v>75</v>
      </c>
      <c r="B77" s="22" t="s">
        <v>96</v>
      </c>
      <c r="C77" s="23" t="s">
        <v>19</v>
      </c>
      <c r="D77" s="23" t="s">
        <v>90</v>
      </c>
      <c r="E77" s="24">
        <v>45500</v>
      </c>
      <c r="F77" s="25">
        <f t="shared" ca="1" si="3"/>
        <v>21.940789473684212</v>
      </c>
      <c r="G77" s="25">
        <v>21.907894736842106</v>
      </c>
      <c r="H77" s="22">
        <v>0</v>
      </c>
      <c r="I77" s="26">
        <v>437</v>
      </c>
      <c r="J77" s="27">
        <v>488.63</v>
      </c>
      <c r="K77" s="28">
        <v>1.161</v>
      </c>
      <c r="L77" s="29">
        <v>0.1106</v>
      </c>
      <c r="M77" s="28">
        <f t="shared" si="4"/>
        <v>3.6381578947368423E-3</v>
      </c>
      <c r="N77" s="25">
        <v>15.3</v>
      </c>
      <c r="O77" s="26">
        <v>271</v>
      </c>
      <c r="P77" s="26">
        <v>21</v>
      </c>
      <c r="Q77" s="25">
        <v>25.2</v>
      </c>
      <c r="R77" s="23" t="s">
        <v>21</v>
      </c>
      <c r="S77" s="24"/>
      <c r="T77" s="22"/>
    </row>
    <row r="78" spans="1:20" s="30" customFormat="1" ht="14.25" customHeight="1" x14ac:dyDescent="0.3">
      <c r="A78" s="21">
        <v>76</v>
      </c>
      <c r="B78" s="22" t="s">
        <v>97</v>
      </c>
      <c r="C78" s="23" t="s">
        <v>19</v>
      </c>
      <c r="D78" s="23" t="s">
        <v>90</v>
      </c>
      <c r="E78" s="24">
        <v>45640</v>
      </c>
      <c r="F78" s="25">
        <f t="shared" ca="1" si="3"/>
        <v>17.335526315789476</v>
      </c>
      <c r="G78" s="25">
        <v>17.30263157894737</v>
      </c>
      <c r="H78" s="22">
        <v>0</v>
      </c>
      <c r="I78" s="26">
        <v>413</v>
      </c>
      <c r="J78" s="27">
        <v>484.51</v>
      </c>
      <c r="K78" s="28">
        <v>1.1140000000000001</v>
      </c>
      <c r="L78" s="29">
        <v>0.1111</v>
      </c>
      <c r="M78" s="28">
        <f t="shared" si="4"/>
        <v>3.6546052631578952E-3</v>
      </c>
      <c r="N78" s="25">
        <v>14.9</v>
      </c>
      <c r="O78" s="26">
        <v>271</v>
      </c>
      <c r="P78" s="26">
        <v>0</v>
      </c>
      <c r="Q78" s="25">
        <v>24.2</v>
      </c>
      <c r="R78" s="23" t="s">
        <v>21</v>
      </c>
      <c r="S78" s="24"/>
      <c r="T78" s="22"/>
    </row>
    <row r="79" spans="1:20" s="30" customFormat="1" ht="14.25" customHeight="1" x14ac:dyDescent="0.3">
      <c r="A79" s="21">
        <v>77</v>
      </c>
      <c r="B79" s="22" t="s">
        <v>98</v>
      </c>
      <c r="C79" s="23" t="s">
        <v>19</v>
      </c>
      <c r="D79" s="23" t="s">
        <v>90</v>
      </c>
      <c r="E79" s="24">
        <v>45552</v>
      </c>
      <c r="F79" s="25">
        <f t="shared" ca="1" si="3"/>
        <v>20.230263157894736</v>
      </c>
      <c r="G79" s="25">
        <v>20.197368421052634</v>
      </c>
      <c r="H79" s="22">
        <v>0</v>
      </c>
      <c r="I79" s="26">
        <v>439</v>
      </c>
      <c r="J79" s="27">
        <v>485.14</v>
      </c>
      <c r="K79" s="28">
        <v>1.0569999999999999</v>
      </c>
      <c r="L79" s="29">
        <v>0.1173</v>
      </c>
      <c r="M79" s="28">
        <f t="shared" si="4"/>
        <v>3.8585526315789475E-3</v>
      </c>
      <c r="N79" s="25">
        <v>13.5</v>
      </c>
      <c r="O79" s="26">
        <v>269</v>
      </c>
      <c r="P79" s="26">
        <v>63</v>
      </c>
      <c r="Q79" s="25">
        <v>25</v>
      </c>
      <c r="R79" s="23" t="s">
        <v>21</v>
      </c>
      <c r="S79" s="24"/>
      <c r="T79" s="22"/>
    </row>
    <row r="80" spans="1:20" s="30" customFormat="1" ht="14.25" customHeight="1" x14ac:dyDescent="0.3">
      <c r="A80" s="21">
        <v>78</v>
      </c>
      <c r="B80" s="22" t="s">
        <v>99</v>
      </c>
      <c r="C80" s="23" t="s">
        <v>19</v>
      </c>
      <c r="D80" s="23" t="s">
        <v>90</v>
      </c>
      <c r="E80" s="24">
        <v>45470</v>
      </c>
      <c r="F80" s="25">
        <f t="shared" ca="1" si="3"/>
        <v>22.92763157894737</v>
      </c>
      <c r="G80" s="25">
        <v>22.894736842105264</v>
      </c>
      <c r="H80" s="22">
        <v>0</v>
      </c>
      <c r="I80" s="26">
        <v>445</v>
      </c>
      <c r="J80" s="27">
        <v>482.37</v>
      </c>
      <c r="K80" s="28">
        <v>1.2010000000000001</v>
      </c>
      <c r="L80" s="29">
        <v>0.1153</v>
      </c>
      <c r="M80" s="28">
        <f t="shared" si="4"/>
        <v>3.792763157894737E-3</v>
      </c>
      <c r="N80" s="25">
        <v>14.4</v>
      </c>
      <c r="O80" s="26">
        <v>256</v>
      </c>
      <c r="P80" s="26">
        <v>21</v>
      </c>
      <c r="Q80" s="25">
        <v>24.2</v>
      </c>
      <c r="R80" s="23" t="s">
        <v>21</v>
      </c>
      <c r="S80" s="24"/>
      <c r="T80" s="22"/>
    </row>
    <row r="81" spans="1:20" s="30" customFormat="1" ht="14.25" customHeight="1" x14ac:dyDescent="0.3">
      <c r="A81" s="21">
        <v>79</v>
      </c>
      <c r="B81" s="22" t="s">
        <v>100</v>
      </c>
      <c r="C81" s="23" t="s">
        <v>19</v>
      </c>
      <c r="D81" s="23" t="s">
        <v>90</v>
      </c>
      <c r="E81" s="24">
        <v>45497</v>
      </c>
      <c r="F81" s="25">
        <f t="shared" ca="1" si="3"/>
        <v>22.039473684210527</v>
      </c>
      <c r="G81" s="25">
        <v>22.006578947368421</v>
      </c>
      <c r="H81" s="22">
        <v>0</v>
      </c>
      <c r="I81" s="26">
        <v>447</v>
      </c>
      <c r="J81" s="27">
        <v>494.01</v>
      </c>
      <c r="K81" s="28">
        <v>1.113</v>
      </c>
      <c r="L81" s="29">
        <v>0.1071</v>
      </c>
      <c r="M81" s="28">
        <f t="shared" si="4"/>
        <v>3.5230263157894738E-3</v>
      </c>
      <c r="N81" s="25">
        <v>14.7</v>
      </c>
      <c r="O81" s="26">
        <v>263</v>
      </c>
      <c r="P81" s="26">
        <v>0</v>
      </c>
      <c r="Q81" s="25">
        <v>24</v>
      </c>
      <c r="R81" s="23" t="s">
        <v>21</v>
      </c>
      <c r="S81" s="24"/>
      <c r="T81" s="22"/>
    </row>
    <row r="82" spans="1:20" s="30" customFormat="1" ht="14.25" customHeight="1" x14ac:dyDescent="0.3">
      <c r="A82" s="21">
        <v>80</v>
      </c>
      <c r="B82" s="22" t="s">
        <v>101</v>
      </c>
      <c r="C82" s="23" t="s">
        <v>19</v>
      </c>
      <c r="D82" s="23" t="s">
        <v>90</v>
      </c>
      <c r="E82" s="24">
        <v>45500</v>
      </c>
      <c r="F82" s="25">
        <f t="shared" ca="1" si="3"/>
        <v>21.940789473684212</v>
      </c>
      <c r="G82" s="25">
        <v>21.907894736842106</v>
      </c>
      <c r="H82" s="22">
        <v>0</v>
      </c>
      <c r="I82" s="26">
        <v>443</v>
      </c>
      <c r="J82" s="27">
        <v>489.72</v>
      </c>
      <c r="K82" s="28">
        <v>1.073</v>
      </c>
      <c r="L82" s="29">
        <v>0.106</v>
      </c>
      <c r="M82" s="28">
        <f t="shared" si="4"/>
        <v>3.486842105263158E-3</v>
      </c>
      <c r="N82" s="25">
        <v>15.8</v>
      </c>
      <c r="O82" s="26">
        <v>283</v>
      </c>
      <c r="P82" s="26">
        <v>21</v>
      </c>
      <c r="Q82" s="25">
        <v>25.9</v>
      </c>
      <c r="R82" s="23" t="s">
        <v>21</v>
      </c>
      <c r="S82" s="24"/>
      <c r="T82" s="22"/>
    </row>
    <row r="83" spans="1:20" s="30" customFormat="1" ht="14.25" customHeight="1" x14ac:dyDescent="0.3">
      <c r="A83" s="21">
        <v>81</v>
      </c>
      <c r="B83" s="22" t="s">
        <v>102</v>
      </c>
      <c r="C83" s="23" t="s">
        <v>19</v>
      </c>
      <c r="D83" s="23" t="s">
        <v>90</v>
      </c>
      <c r="E83" s="24">
        <v>45576</v>
      </c>
      <c r="F83" s="25">
        <f t="shared" ca="1" si="3"/>
        <v>19.440789473684212</v>
      </c>
      <c r="G83" s="25">
        <v>19.407894736842106</v>
      </c>
      <c r="H83" s="22">
        <v>0</v>
      </c>
      <c r="I83" s="26">
        <v>404</v>
      </c>
      <c r="J83" s="27">
        <v>463.94</v>
      </c>
      <c r="K83" s="28">
        <v>1.0349999999999999</v>
      </c>
      <c r="L83" s="29">
        <v>0.106</v>
      </c>
      <c r="M83" s="28">
        <f t="shared" si="4"/>
        <v>3.486842105263158E-3</v>
      </c>
      <c r="N83" s="25">
        <v>14.7</v>
      </c>
      <c r="O83" s="26">
        <v>257</v>
      </c>
      <c r="P83" s="26">
        <v>42</v>
      </c>
      <c r="Q83" s="25">
        <v>25.3</v>
      </c>
      <c r="R83" s="23" t="s">
        <v>21</v>
      </c>
      <c r="S83" s="24"/>
      <c r="T83" s="22"/>
    </row>
    <row r="84" spans="1:20" s="30" customFormat="1" ht="14.25" customHeight="1" x14ac:dyDescent="0.3">
      <c r="A84" s="21">
        <v>82</v>
      </c>
      <c r="B84" s="22" t="s">
        <v>103</v>
      </c>
      <c r="C84" s="23" t="s">
        <v>19</v>
      </c>
      <c r="D84" s="23" t="s">
        <v>90</v>
      </c>
      <c r="E84" s="24">
        <v>45582</v>
      </c>
      <c r="F84" s="25">
        <f t="shared" ca="1" si="3"/>
        <v>19.243421052631579</v>
      </c>
      <c r="G84" s="25">
        <v>19.210526315789476</v>
      </c>
      <c r="H84" s="22">
        <v>0</v>
      </c>
      <c r="I84" s="26">
        <v>430</v>
      </c>
      <c r="J84" s="27">
        <v>485.61</v>
      </c>
      <c r="K84" s="28">
        <v>1.081</v>
      </c>
      <c r="L84" s="29">
        <v>0.11219999999999999</v>
      </c>
      <c r="M84" s="28">
        <f t="shared" si="4"/>
        <v>3.6907894736842107E-3</v>
      </c>
      <c r="N84" s="25">
        <v>13.7</v>
      </c>
      <c r="O84" s="26">
        <v>258</v>
      </c>
      <c r="P84" s="26">
        <v>0</v>
      </c>
      <c r="Q84" s="25">
        <v>22.9</v>
      </c>
      <c r="R84" s="23" t="s">
        <v>21</v>
      </c>
      <c r="S84" s="24"/>
      <c r="T84" s="22"/>
    </row>
  </sheetData>
  <autoFilter ref="A1:T84" xr:uid="{00000000-0009-0000-0000-000000000000}"/>
  <dataValidations count="2">
    <dataValidation type="list" allowBlank="1" sqref="R2:R69 R71:R84" xr:uid="{00000000-0002-0000-0000-000000000000}">
      <formula1>"Activa,Desechada,Muerta,Vendida"</formula1>
      <formula2>0</formula2>
    </dataValidation>
    <dataValidation type="list" allowBlank="1" sqref="H2:H69 H71:H84" xr:uid="{00000000-0002-0000-0000-000001000000}">
      <formula1>"0,1,2,3,4,5,6,7+"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9"/>
  <sheetViews>
    <sheetView zoomScaleNormal="100" workbookViewId="0">
      <pane ySplit="1" topLeftCell="A2" activePane="bottomLeft" state="frozen"/>
      <selection pane="bottomLeft" activeCell="H10" sqref="H10"/>
    </sheetView>
  </sheetViews>
  <sheetFormatPr baseColWidth="10" defaultColWidth="12.44140625" defaultRowHeight="14.25" customHeight="1" x14ac:dyDescent="0.3"/>
  <cols>
    <col min="16" max="16" width="13.6640625" customWidth="1"/>
  </cols>
  <sheetData>
    <row r="1" spans="1:16" ht="42.75" customHeight="1" x14ac:dyDescent="0.3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235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</row>
    <row r="2" spans="1:16" ht="14.25" customHeight="1" x14ac:dyDescent="0.3">
      <c r="A2" s="2">
        <v>1</v>
      </c>
      <c r="B2" s="2">
        <v>1</v>
      </c>
      <c r="C2" s="3">
        <v>46041</v>
      </c>
      <c r="D2" s="3">
        <v>46328</v>
      </c>
      <c r="E2" s="4">
        <f t="shared" ref="E2:E33" si="0">IFERROR(IF(OR(C2="",D2=""),"",D2-C2),"")</f>
        <v>287</v>
      </c>
      <c r="F2" s="52" cm="1">
        <f t="array" ref="F2">SUM(I2*(_xlfn.SEQUENCE(E2)^J2)*EXP(-L2*_xlfn.SEQUENCE(E2)))</f>
        <v>5130.7640763057752</v>
      </c>
      <c r="G2" s="5">
        <f>I2*((J2/L2)^J2)*EXP(-J2)</f>
        <v>25.050265145255821</v>
      </c>
      <c r="H2" s="6">
        <f>J2/L2</f>
        <v>28.208800945067921</v>
      </c>
      <c r="I2" s="42">
        <v>18.204000000000001</v>
      </c>
      <c r="J2" s="41">
        <v>0.13644999999999999</v>
      </c>
      <c r="K2" s="41">
        <v>3.3860000000000001E-2</v>
      </c>
      <c r="L2" s="41">
        <f>K2/7</f>
        <v>4.8371428571428576E-3</v>
      </c>
      <c r="M2" s="7">
        <v>4.7300000000000004</v>
      </c>
      <c r="N2" s="7">
        <v>3.85</v>
      </c>
      <c r="O2" s="7">
        <v>5.45</v>
      </c>
    </row>
    <row r="3" spans="1:16" ht="14.25" customHeight="1" x14ac:dyDescent="0.3">
      <c r="A3" s="2">
        <v>2</v>
      </c>
      <c r="B3" s="2">
        <v>1</v>
      </c>
      <c r="C3" s="3">
        <v>46087</v>
      </c>
      <c r="D3" s="3">
        <v>46415</v>
      </c>
      <c r="E3" s="4">
        <f t="shared" si="0"/>
        <v>328</v>
      </c>
      <c r="F3" s="52" cm="1">
        <f t="array" ref="F3">SUM(I3*(_xlfn.SEQUENCE(E3)^J3)*EXP(-L3*_xlfn.SEQUENCE(E3)))</f>
        <v>5672.9290313834026</v>
      </c>
      <c r="G3" s="5">
        <f t="shared" ref="G3:G66" si="1">I3*((J3/L3)^J3)*EXP(-J3)</f>
        <v>27.030624166842227</v>
      </c>
      <c r="H3" s="6">
        <f t="shared" ref="H3:H66" si="2">J3/L3</f>
        <v>24.461988304093566</v>
      </c>
      <c r="I3" s="42">
        <v>20.516999999999999</v>
      </c>
      <c r="J3" s="41">
        <v>0.12548999999999999</v>
      </c>
      <c r="K3" s="41">
        <v>3.5909999999999997E-2</v>
      </c>
      <c r="L3" s="41">
        <f t="shared" ref="L3:L66" si="3">K3/7</f>
        <v>5.13E-3</v>
      </c>
      <c r="M3" s="7">
        <v>4.3600000000000003</v>
      </c>
      <c r="N3" s="7">
        <v>3.53</v>
      </c>
      <c r="O3" s="7">
        <v>5.45</v>
      </c>
    </row>
    <row r="4" spans="1:16" ht="14.25" customHeight="1" x14ac:dyDescent="0.3">
      <c r="A4" s="2">
        <v>3</v>
      </c>
      <c r="B4" s="2">
        <v>1</v>
      </c>
      <c r="C4" s="3">
        <v>46008</v>
      </c>
      <c r="D4" s="3">
        <v>46376</v>
      </c>
      <c r="E4" s="4">
        <f t="shared" si="0"/>
        <v>368</v>
      </c>
      <c r="F4" s="52" cm="1">
        <f t="array" ref="F4">SUM(I4*(_xlfn.SEQUENCE(E4)^J4)*EXP(-L4*_xlfn.SEQUENCE(E4)))</f>
        <v>7148.4129680699107</v>
      </c>
      <c r="G4" s="5">
        <f t="shared" si="1"/>
        <v>31.07932831192149</v>
      </c>
      <c r="H4" s="6">
        <f t="shared" si="2"/>
        <v>27.170998227997632</v>
      </c>
      <c r="I4" s="42">
        <v>22.965</v>
      </c>
      <c r="J4" s="41">
        <v>0.13142999999999999</v>
      </c>
      <c r="K4" s="41">
        <v>3.3860000000000001E-2</v>
      </c>
      <c r="L4" s="41">
        <f t="shared" si="3"/>
        <v>4.8371428571428576E-3</v>
      </c>
      <c r="M4" s="7">
        <v>4.8099999999999996</v>
      </c>
      <c r="N4" s="7">
        <v>3.34</v>
      </c>
      <c r="O4" s="7">
        <v>5.45</v>
      </c>
    </row>
    <row r="5" spans="1:16" ht="14.25" customHeight="1" x14ac:dyDescent="0.3">
      <c r="A5" s="2">
        <v>4</v>
      </c>
      <c r="B5" s="2">
        <v>1</v>
      </c>
      <c r="C5" s="3">
        <v>46095</v>
      </c>
      <c r="D5" s="3">
        <v>46383</v>
      </c>
      <c r="E5" s="4">
        <f t="shared" si="0"/>
        <v>288</v>
      </c>
      <c r="F5" s="52" cm="1">
        <f t="array" ref="F5">SUM(I5*(_xlfn.SEQUENCE(E5)^J5)*EXP(-L5*_xlfn.SEQUENCE(E5)))</f>
        <v>6097.1192953835862</v>
      </c>
      <c r="G5" s="5">
        <f t="shared" si="1"/>
        <v>30.389318952120057</v>
      </c>
      <c r="H5" s="6">
        <f t="shared" si="2"/>
        <v>25.690825424216278</v>
      </c>
      <c r="I5" s="42">
        <v>22.815999999999999</v>
      </c>
      <c r="J5" s="41">
        <v>0.12761</v>
      </c>
      <c r="K5" s="41">
        <v>3.4770000000000002E-2</v>
      </c>
      <c r="L5" s="41">
        <f t="shared" si="3"/>
        <v>4.9671428571428575E-3</v>
      </c>
      <c r="M5" s="7">
        <v>4.7300000000000004</v>
      </c>
      <c r="N5" s="7">
        <v>3.53</v>
      </c>
      <c r="O5" s="7">
        <v>5.45</v>
      </c>
    </row>
    <row r="6" spans="1:16" ht="14.25" customHeight="1" x14ac:dyDescent="0.3">
      <c r="A6" s="2">
        <v>5</v>
      </c>
      <c r="B6" s="2">
        <v>1</v>
      </c>
      <c r="C6" s="3">
        <v>45954</v>
      </c>
      <c r="D6" s="3">
        <v>46233</v>
      </c>
      <c r="E6" s="4">
        <f t="shared" si="0"/>
        <v>279</v>
      </c>
      <c r="F6" s="52" cm="1">
        <f t="array" ref="F6">SUM(I6*(_xlfn.SEQUENCE(E6)^J6)*EXP(-L6*_xlfn.SEQUENCE(E6)))</f>
        <v>5972.6334175466736</v>
      </c>
      <c r="G6" s="5">
        <f t="shared" si="1"/>
        <v>29.526831753755026</v>
      </c>
      <c r="H6" s="6">
        <f t="shared" si="2"/>
        <v>27.636583157259281</v>
      </c>
      <c r="I6" s="42">
        <v>21.800999999999998</v>
      </c>
      <c r="J6" s="41">
        <v>0.1308</v>
      </c>
      <c r="K6" s="41">
        <v>3.313E-2</v>
      </c>
      <c r="L6" s="41">
        <f t="shared" si="3"/>
        <v>4.7328571428571428E-3</v>
      </c>
      <c r="M6" s="7">
        <v>4.3099999999999996</v>
      </c>
      <c r="N6" s="7">
        <v>3.7</v>
      </c>
      <c r="O6" s="7">
        <v>5.45</v>
      </c>
    </row>
    <row r="7" spans="1:16" ht="14.25" customHeight="1" x14ac:dyDescent="0.3">
      <c r="A7" s="2">
        <v>6</v>
      </c>
      <c r="B7" s="2">
        <v>1</v>
      </c>
      <c r="C7" s="3">
        <v>45976</v>
      </c>
      <c r="D7" s="3">
        <v>46228</v>
      </c>
      <c r="E7" s="4">
        <f t="shared" si="0"/>
        <v>252</v>
      </c>
      <c r="F7" s="52" cm="1">
        <f t="array" ref="F7">SUM(I7*(_xlfn.SEQUENCE(E7)^J7)*EXP(-L7*_xlfn.SEQUENCE(E7)))</f>
        <v>3842.6996795129421</v>
      </c>
      <c r="G7" s="5">
        <f t="shared" si="1"/>
        <v>20.44134886430103</v>
      </c>
      <c r="H7" s="6">
        <f t="shared" si="2"/>
        <v>27.844178082191778</v>
      </c>
      <c r="I7" s="42">
        <v>14.78</v>
      </c>
      <c r="J7" s="41">
        <v>0.13938</v>
      </c>
      <c r="K7" s="41">
        <v>3.5040000000000002E-2</v>
      </c>
      <c r="L7" s="41">
        <f t="shared" si="3"/>
        <v>5.0057142857142861E-3</v>
      </c>
      <c r="M7" s="7">
        <v>3.82</v>
      </c>
      <c r="N7" s="7">
        <v>3.81</v>
      </c>
      <c r="O7" s="7">
        <v>5.45</v>
      </c>
    </row>
    <row r="8" spans="1:16" ht="14.25" customHeight="1" x14ac:dyDescent="0.3">
      <c r="A8" s="2">
        <v>7</v>
      </c>
      <c r="B8" s="2">
        <v>1</v>
      </c>
      <c r="C8" s="3">
        <v>45952</v>
      </c>
      <c r="D8" s="3">
        <v>46281</v>
      </c>
      <c r="E8" s="4">
        <f t="shared" si="0"/>
        <v>329</v>
      </c>
      <c r="F8" s="52" cm="1">
        <f t="array" ref="F8">SUM(I8*(_xlfn.SEQUENCE(E8)^J8)*EXP(-L8*_xlfn.SEQUENCE(E8)))</f>
        <v>4501.1502775472763</v>
      </c>
      <c r="G8" s="5">
        <f t="shared" si="1"/>
        <v>20.539836617845559</v>
      </c>
      <c r="H8" s="6">
        <f t="shared" si="2"/>
        <v>27.214583333333334</v>
      </c>
      <c r="I8" s="42">
        <v>15.202</v>
      </c>
      <c r="J8" s="41">
        <v>0.13063</v>
      </c>
      <c r="K8" s="41">
        <v>3.3599999999999998E-2</v>
      </c>
      <c r="L8" s="41">
        <f t="shared" si="3"/>
        <v>4.7999999999999996E-3</v>
      </c>
      <c r="M8" s="7">
        <v>5.48</v>
      </c>
      <c r="N8" s="7">
        <v>3.72</v>
      </c>
      <c r="O8" s="7">
        <v>5.45</v>
      </c>
    </row>
    <row r="9" spans="1:16" ht="14.25" customHeight="1" x14ac:dyDescent="0.3">
      <c r="A9" s="2">
        <v>8</v>
      </c>
      <c r="B9" s="2">
        <v>1</v>
      </c>
      <c r="C9" s="3">
        <v>46123</v>
      </c>
      <c r="D9" s="3">
        <v>46429</v>
      </c>
      <c r="E9" s="4">
        <f t="shared" si="0"/>
        <v>306</v>
      </c>
      <c r="F9" s="52" cm="1">
        <f t="array" ref="F9">SUM(I9*(_xlfn.SEQUENCE(E9)^J9)*EXP(-L9*_xlfn.SEQUENCE(E9)))</f>
        <v>5104.2000861459328</v>
      </c>
      <c r="G9" s="5">
        <f t="shared" si="1"/>
        <v>23.903376873933652</v>
      </c>
      <c r="H9" s="6">
        <f t="shared" si="2"/>
        <v>28.756586826347306</v>
      </c>
      <c r="I9" s="42">
        <v>17.294</v>
      </c>
      <c r="J9" s="41">
        <v>0.13721</v>
      </c>
      <c r="K9" s="41">
        <v>3.3399999999999999E-2</v>
      </c>
      <c r="L9" s="41">
        <f t="shared" si="3"/>
        <v>4.7714285714285714E-3</v>
      </c>
      <c r="M9" s="7">
        <v>3.82</v>
      </c>
      <c r="N9" s="7">
        <v>3.27</v>
      </c>
      <c r="O9" s="7">
        <v>5.45</v>
      </c>
    </row>
    <row r="10" spans="1:16" ht="14.25" customHeight="1" x14ac:dyDescent="0.3">
      <c r="A10" s="2">
        <v>9</v>
      </c>
      <c r="B10" s="2">
        <v>1</v>
      </c>
      <c r="C10" s="3">
        <v>45909</v>
      </c>
      <c r="D10" s="3">
        <v>46165</v>
      </c>
      <c r="E10" s="4">
        <f t="shared" si="0"/>
        <v>256</v>
      </c>
      <c r="F10" s="52" cm="1">
        <f t="array" ref="F10">SUM(I10*(_xlfn.SEQUENCE(E10)^J10)*EXP(-L10*_xlfn.SEQUENCE(E10)))</f>
        <v>4486.7574654721711</v>
      </c>
      <c r="G10" s="5">
        <f t="shared" si="1"/>
        <v>23.897244456127552</v>
      </c>
      <c r="H10" s="6">
        <f t="shared" si="2"/>
        <v>25.536515238642899</v>
      </c>
      <c r="I10" s="42">
        <v>17.984999999999999</v>
      </c>
      <c r="J10" s="41">
        <v>0.12687999999999999</v>
      </c>
      <c r="K10" s="41">
        <v>3.4779999999999998E-2</v>
      </c>
      <c r="L10" s="41">
        <f t="shared" si="3"/>
        <v>4.9685714285714281E-3</v>
      </c>
      <c r="M10" s="7">
        <v>2.8</v>
      </c>
      <c r="N10" s="7">
        <v>3.79</v>
      </c>
      <c r="O10" s="7">
        <v>5.45</v>
      </c>
    </row>
    <row r="11" spans="1:16" ht="14.25" customHeight="1" x14ac:dyDescent="0.3">
      <c r="A11" s="2">
        <v>10</v>
      </c>
      <c r="B11" s="2">
        <v>1</v>
      </c>
      <c r="C11" s="3">
        <v>45978</v>
      </c>
      <c r="D11" s="3">
        <v>46325</v>
      </c>
      <c r="E11" s="4">
        <f t="shared" si="0"/>
        <v>347</v>
      </c>
      <c r="F11" s="52" cm="1">
        <f t="array" ref="F11">SUM(I11*(_xlfn.SEQUENCE(E11)^J11)*EXP(-L11*_xlfn.SEQUENCE(E11)))</f>
        <v>5938.8448755901218</v>
      </c>
      <c r="G11" s="5">
        <f t="shared" si="1"/>
        <v>26.002223373517065</v>
      </c>
      <c r="H11" s="6">
        <f t="shared" si="2"/>
        <v>29.197229750075277</v>
      </c>
      <c r="I11" s="42">
        <v>18.715</v>
      </c>
      <c r="J11" s="41">
        <v>0.13852</v>
      </c>
      <c r="K11" s="41">
        <v>3.3210000000000003E-2</v>
      </c>
      <c r="L11" s="41">
        <f t="shared" si="3"/>
        <v>4.7442857142857148E-3</v>
      </c>
      <c r="M11" s="7">
        <v>4.53</v>
      </c>
      <c r="N11" s="7">
        <v>3.44</v>
      </c>
      <c r="O11" s="7">
        <v>5.45</v>
      </c>
    </row>
    <row r="12" spans="1:16" ht="14.25" customHeight="1" x14ac:dyDescent="0.3">
      <c r="A12" s="2">
        <v>11</v>
      </c>
      <c r="B12" s="2">
        <v>1</v>
      </c>
      <c r="C12" s="3">
        <v>46006</v>
      </c>
      <c r="D12" s="3">
        <v>46298</v>
      </c>
      <c r="E12" s="4">
        <f t="shared" si="0"/>
        <v>292</v>
      </c>
      <c r="F12" s="52" cm="1">
        <f t="array" ref="F12">SUM(I12*(_xlfn.SEQUENCE(E12)^J12)*EXP(-L12*_xlfn.SEQUENCE(E12)))</f>
        <v>2619.5987341318155</v>
      </c>
      <c r="G12" s="5">
        <f t="shared" si="1"/>
        <v>13.009821114164655</v>
      </c>
      <c r="H12" s="6">
        <f t="shared" si="2"/>
        <v>26.273136427566808</v>
      </c>
      <c r="I12" s="42">
        <v>9.6120000000000001</v>
      </c>
      <c r="J12" s="41">
        <v>0.13342999999999999</v>
      </c>
      <c r="K12" s="41">
        <v>3.5549999999999998E-2</v>
      </c>
      <c r="L12" s="41">
        <f t="shared" si="3"/>
        <v>5.078571428571428E-3</v>
      </c>
      <c r="M12" s="7">
        <v>3.94</v>
      </c>
      <c r="N12" s="7">
        <v>3.5</v>
      </c>
      <c r="O12" s="7">
        <v>5.45</v>
      </c>
    </row>
    <row r="13" spans="1:16" ht="14.25" customHeight="1" x14ac:dyDescent="0.3">
      <c r="A13" s="2">
        <v>12</v>
      </c>
      <c r="B13" s="2">
        <v>1</v>
      </c>
      <c r="C13" s="3">
        <v>46024</v>
      </c>
      <c r="D13" s="3">
        <v>46396</v>
      </c>
      <c r="E13" s="4">
        <f t="shared" si="0"/>
        <v>372</v>
      </c>
      <c r="F13" s="52" cm="1">
        <f t="array" ref="F13">SUM(I13*(_xlfn.SEQUENCE(E13)^J13)*EXP(-L13*_xlfn.SEQUENCE(E13)))</f>
        <v>4586.3720858158085</v>
      </c>
      <c r="G13" s="5">
        <f t="shared" si="1"/>
        <v>19.678376529777765</v>
      </c>
      <c r="H13" s="6">
        <f t="shared" si="2"/>
        <v>28.371039384068698</v>
      </c>
      <c r="I13" s="42">
        <v>14.275</v>
      </c>
      <c r="J13" s="41">
        <v>0.13686999999999999</v>
      </c>
      <c r="K13" s="41">
        <v>3.3770000000000001E-2</v>
      </c>
      <c r="L13" s="41">
        <f t="shared" si="3"/>
        <v>4.8242857142857141E-3</v>
      </c>
      <c r="M13" s="7">
        <v>4.4000000000000004</v>
      </c>
      <c r="N13" s="7">
        <v>3.37</v>
      </c>
      <c r="O13" s="7">
        <v>5.45</v>
      </c>
    </row>
    <row r="14" spans="1:16" ht="14.25" customHeight="1" x14ac:dyDescent="0.3">
      <c r="A14" s="2">
        <v>13</v>
      </c>
      <c r="B14" s="2">
        <v>1</v>
      </c>
      <c r="C14" s="3">
        <v>46046</v>
      </c>
      <c r="D14" s="3">
        <v>46320</v>
      </c>
      <c r="E14" s="4">
        <f t="shared" si="0"/>
        <v>274</v>
      </c>
      <c r="F14" s="52" cm="1">
        <f t="array" ref="F14">SUM(I14*(_xlfn.SEQUENCE(E14)^J14)*EXP(-L14*_xlfn.SEQUENCE(E14)))</f>
        <v>5454.6295816601387</v>
      </c>
      <c r="G14" s="5">
        <f t="shared" si="1"/>
        <v>27.280150800967867</v>
      </c>
      <c r="H14" s="6">
        <f t="shared" si="2"/>
        <v>27.589473684210528</v>
      </c>
      <c r="I14" s="42">
        <v>20.135000000000002</v>
      </c>
      <c r="J14" s="41">
        <v>0.13105</v>
      </c>
      <c r="K14" s="41">
        <v>3.3250000000000002E-2</v>
      </c>
      <c r="L14" s="41">
        <f t="shared" si="3"/>
        <v>4.7499999999999999E-3</v>
      </c>
      <c r="M14" s="7">
        <v>3.2</v>
      </c>
      <c r="N14" s="7">
        <v>3.75</v>
      </c>
      <c r="O14" s="7">
        <v>5.45</v>
      </c>
    </row>
    <row r="15" spans="1:16" ht="14.25" customHeight="1" x14ac:dyDescent="0.3">
      <c r="A15" s="2">
        <v>14</v>
      </c>
      <c r="B15" s="2">
        <v>1</v>
      </c>
      <c r="C15" s="3">
        <v>45951</v>
      </c>
      <c r="D15" s="3">
        <v>46296</v>
      </c>
      <c r="E15" s="4">
        <f t="shared" si="0"/>
        <v>345</v>
      </c>
      <c r="F15" s="52" cm="1">
        <f t="array" ref="F15">SUM(I15*(_xlfn.SEQUENCE(E15)^J15)*EXP(-L15*_xlfn.SEQUENCE(E15)))</f>
        <v>5860.8800207277254</v>
      </c>
      <c r="G15" s="5">
        <f t="shared" si="1"/>
        <v>26.987050657188192</v>
      </c>
      <c r="H15" s="6">
        <f t="shared" si="2"/>
        <v>24.450789096126258</v>
      </c>
      <c r="I15" s="42">
        <v>20.655000000000001</v>
      </c>
      <c r="J15" s="41">
        <v>0.12173</v>
      </c>
      <c r="K15" s="41">
        <v>3.4849999999999999E-2</v>
      </c>
      <c r="L15" s="41">
        <f t="shared" si="3"/>
        <v>4.9785714285714286E-3</v>
      </c>
      <c r="M15" s="7">
        <v>4.04</v>
      </c>
      <c r="N15" s="7">
        <v>3.44</v>
      </c>
      <c r="O15" s="7">
        <v>5.45</v>
      </c>
    </row>
    <row r="16" spans="1:16" ht="14.25" customHeight="1" x14ac:dyDescent="0.3">
      <c r="A16" s="2">
        <v>15</v>
      </c>
      <c r="B16" s="2">
        <v>1</v>
      </c>
      <c r="C16" s="3">
        <v>45940</v>
      </c>
      <c r="D16" s="3">
        <v>46186</v>
      </c>
      <c r="E16" s="4">
        <f t="shared" si="0"/>
        <v>246</v>
      </c>
      <c r="F16" s="52" cm="1">
        <f t="array" ref="F16">SUM(I16*(_xlfn.SEQUENCE(E16)^J16)*EXP(-L16*_xlfn.SEQUENCE(E16)))</f>
        <v>3174.9694619588231</v>
      </c>
      <c r="G16" s="5">
        <f t="shared" si="1"/>
        <v>16.982553957321073</v>
      </c>
      <c r="H16" s="6">
        <f t="shared" si="2"/>
        <v>27.865543735224584</v>
      </c>
      <c r="I16" s="42">
        <v>12.412000000000001</v>
      </c>
      <c r="J16" s="41">
        <v>0.13471</v>
      </c>
      <c r="K16" s="41">
        <v>3.3840000000000002E-2</v>
      </c>
      <c r="L16" s="41">
        <f t="shared" si="3"/>
        <v>4.8342857142857146E-3</v>
      </c>
      <c r="M16" s="7">
        <v>4.07</v>
      </c>
      <c r="N16" s="7">
        <v>3.85</v>
      </c>
      <c r="O16" s="7">
        <v>5.45</v>
      </c>
    </row>
    <row r="17" spans="1:15" ht="14.25" customHeight="1" x14ac:dyDescent="0.3">
      <c r="A17" s="2">
        <v>16</v>
      </c>
      <c r="B17" s="2">
        <v>1</v>
      </c>
      <c r="C17" s="3">
        <v>46050</v>
      </c>
      <c r="D17" s="3">
        <v>46285</v>
      </c>
      <c r="E17" s="4">
        <f t="shared" si="0"/>
        <v>235</v>
      </c>
      <c r="F17" s="52" cm="1">
        <f t="array" ref="F17">SUM(I17*(_xlfn.SEQUENCE(E17)^J17)*EXP(-L17*_xlfn.SEQUENCE(E17)))</f>
        <v>2062.2316151803884</v>
      </c>
      <c r="G17" s="5">
        <f t="shared" si="1"/>
        <v>11.529779913038634</v>
      </c>
      <c r="H17" s="6">
        <f t="shared" si="2"/>
        <v>26.648878796480272</v>
      </c>
      <c r="I17" s="42">
        <v>8.4890000000000008</v>
      </c>
      <c r="J17" s="41">
        <v>0.13411999999999999</v>
      </c>
      <c r="K17" s="41">
        <v>3.5229999999999997E-2</v>
      </c>
      <c r="L17" s="41">
        <f t="shared" si="3"/>
        <v>5.0328571428571427E-3</v>
      </c>
      <c r="M17" s="7">
        <v>4.24</v>
      </c>
      <c r="N17" s="7">
        <v>3.63</v>
      </c>
      <c r="O17" s="7">
        <v>5.45</v>
      </c>
    </row>
    <row r="18" spans="1:15" ht="14.25" customHeight="1" x14ac:dyDescent="0.3">
      <c r="A18" s="2">
        <v>17</v>
      </c>
      <c r="B18" s="2">
        <v>1</v>
      </c>
      <c r="C18" s="3">
        <v>45997</v>
      </c>
      <c r="D18" s="3">
        <v>46358</v>
      </c>
      <c r="E18" s="4">
        <f t="shared" si="0"/>
        <v>361</v>
      </c>
      <c r="F18" s="52" cm="1">
        <f t="array" ref="F18">SUM(I18*(_xlfn.SEQUENCE(E18)^J18)*EXP(-L18*_xlfn.SEQUENCE(E18)))</f>
        <v>5150.4195682265135</v>
      </c>
      <c r="G18" s="5">
        <f t="shared" si="1"/>
        <v>22.486795565610155</v>
      </c>
      <c r="H18" s="6">
        <f t="shared" si="2"/>
        <v>27.438168846611173</v>
      </c>
      <c r="I18" s="42">
        <v>16.577999999999999</v>
      </c>
      <c r="J18" s="41">
        <v>0.13186</v>
      </c>
      <c r="K18" s="41">
        <v>3.3640000000000003E-2</v>
      </c>
      <c r="L18" s="41">
        <f t="shared" si="3"/>
        <v>4.8057142857142864E-3</v>
      </c>
      <c r="M18" s="7">
        <v>4.63</v>
      </c>
      <c r="N18" s="7">
        <v>3.34</v>
      </c>
      <c r="O18" s="7">
        <v>5.45</v>
      </c>
    </row>
    <row r="19" spans="1:15" ht="14.25" customHeight="1" x14ac:dyDescent="0.3">
      <c r="A19" s="2">
        <v>18</v>
      </c>
      <c r="B19" s="2">
        <v>1</v>
      </c>
      <c r="C19" s="3">
        <v>45958</v>
      </c>
      <c r="D19" s="3">
        <v>46255</v>
      </c>
      <c r="E19" s="4">
        <f t="shared" si="0"/>
        <v>297</v>
      </c>
      <c r="F19" s="52" cm="1">
        <f t="array" ref="F19">SUM(I19*(_xlfn.SEQUENCE(E19)^J19)*EXP(-L19*_xlfn.SEQUENCE(E19)))</f>
        <v>3552.9649641126512</v>
      </c>
      <c r="G19" s="5">
        <f t="shared" si="1"/>
        <v>17.04516657812043</v>
      </c>
      <c r="H19" s="6">
        <f t="shared" si="2"/>
        <v>27.236668663870581</v>
      </c>
      <c r="I19" s="42">
        <v>12.635999999999999</v>
      </c>
      <c r="J19" s="41">
        <v>0.12988</v>
      </c>
      <c r="K19" s="41">
        <v>3.338E-2</v>
      </c>
      <c r="L19" s="41">
        <f t="shared" si="3"/>
        <v>4.7685714285714284E-3</v>
      </c>
      <c r="M19" s="7">
        <v>4.46</v>
      </c>
      <c r="N19" s="7">
        <v>3.21</v>
      </c>
      <c r="O19" s="7">
        <v>5.45</v>
      </c>
    </row>
    <row r="20" spans="1:15" ht="14.25" customHeight="1" x14ac:dyDescent="0.3">
      <c r="A20" s="2">
        <v>19</v>
      </c>
      <c r="B20" s="2">
        <v>1</v>
      </c>
      <c r="C20" s="3">
        <v>46134</v>
      </c>
      <c r="D20" s="3">
        <v>46512</v>
      </c>
      <c r="E20" s="4">
        <f t="shared" si="0"/>
        <v>378</v>
      </c>
      <c r="F20" s="52" cm="1">
        <f t="array" ref="F20">SUM(I20*(_xlfn.SEQUENCE(E20)^J20)*EXP(-L20*_xlfn.SEQUENCE(E20)))</f>
        <v>4937.0405033199877</v>
      </c>
      <c r="G20" s="5">
        <f t="shared" si="1"/>
        <v>21.163131647279691</v>
      </c>
      <c r="H20" s="6">
        <f t="shared" si="2"/>
        <v>27.222222222222221</v>
      </c>
      <c r="I20" s="42">
        <v>15.653</v>
      </c>
      <c r="J20" s="41">
        <v>0.13089999999999999</v>
      </c>
      <c r="K20" s="41">
        <v>3.3660000000000002E-2</v>
      </c>
      <c r="L20" s="41">
        <f t="shared" si="3"/>
        <v>4.8085714285714285E-3</v>
      </c>
      <c r="M20" s="7">
        <v>3.81</v>
      </c>
      <c r="N20" s="7">
        <v>3.47</v>
      </c>
      <c r="O20" s="7">
        <v>5.45</v>
      </c>
    </row>
    <row r="21" spans="1:15" ht="14.25" customHeight="1" x14ac:dyDescent="0.3">
      <c r="A21" s="2">
        <v>20</v>
      </c>
      <c r="B21" s="2">
        <v>1</v>
      </c>
      <c r="C21" s="3">
        <v>46085</v>
      </c>
      <c r="D21" s="3">
        <v>46331</v>
      </c>
      <c r="E21" s="4">
        <f t="shared" si="0"/>
        <v>246</v>
      </c>
      <c r="F21" s="52" cm="1">
        <f t="array" ref="F21">SUM(I21*(_xlfn.SEQUENCE(E21)^J21)*EXP(-L21*_xlfn.SEQUENCE(E21)))</f>
        <v>4230.8850687443601</v>
      </c>
      <c r="G21" s="5">
        <f t="shared" si="1"/>
        <v>22.298620728073612</v>
      </c>
      <c r="H21" s="6">
        <f t="shared" si="2"/>
        <v>29.351326623970721</v>
      </c>
      <c r="I21" s="42">
        <v>16.077000000000002</v>
      </c>
      <c r="J21" s="41">
        <v>0.13749</v>
      </c>
      <c r="K21" s="41">
        <v>3.279E-2</v>
      </c>
      <c r="L21" s="41">
        <f t="shared" si="3"/>
        <v>4.6842857142857146E-3</v>
      </c>
      <c r="M21" s="7">
        <v>4.75</v>
      </c>
      <c r="N21" s="7">
        <v>3.63</v>
      </c>
      <c r="O21" s="7">
        <v>5.45</v>
      </c>
    </row>
    <row r="22" spans="1:15" ht="14.25" customHeight="1" x14ac:dyDescent="0.3">
      <c r="A22" s="2">
        <v>21</v>
      </c>
      <c r="B22" s="2">
        <v>1</v>
      </c>
      <c r="C22" s="3">
        <v>45935</v>
      </c>
      <c r="D22" s="3">
        <v>46289</v>
      </c>
      <c r="E22" s="4">
        <f t="shared" si="0"/>
        <v>354</v>
      </c>
      <c r="F22" s="52" cm="1">
        <f t="array" ref="F22">SUM(I22*(_xlfn.SEQUENCE(E22)^J22)*EXP(-L22*_xlfn.SEQUENCE(E22)))</f>
        <v>3281.984865547116</v>
      </c>
      <c r="G22" s="5">
        <f t="shared" si="1"/>
        <v>14.299131355911189</v>
      </c>
      <c r="H22" s="6">
        <f t="shared" si="2"/>
        <v>27.295705521472396</v>
      </c>
      <c r="I22" s="42">
        <v>10.664999999999999</v>
      </c>
      <c r="J22" s="41">
        <v>0.12712000000000001</v>
      </c>
      <c r="K22" s="41">
        <v>3.2599999999999997E-2</v>
      </c>
      <c r="L22" s="41">
        <f t="shared" si="3"/>
        <v>4.6571428571428571E-3</v>
      </c>
      <c r="M22" s="7">
        <v>4.5999999999999996</v>
      </c>
      <c r="N22" s="7">
        <v>3.45</v>
      </c>
      <c r="O22" s="7">
        <v>5.45</v>
      </c>
    </row>
    <row r="23" spans="1:15" ht="14.25" customHeight="1" x14ac:dyDescent="0.3">
      <c r="A23" s="2">
        <v>22</v>
      </c>
      <c r="B23" s="2">
        <v>1</v>
      </c>
      <c r="C23" s="3">
        <v>45989</v>
      </c>
      <c r="D23" s="3">
        <v>46270</v>
      </c>
      <c r="E23" s="4">
        <f t="shared" si="0"/>
        <v>281</v>
      </c>
      <c r="F23" s="52" cm="1">
        <f t="array" ref="F23">SUM(I23*(_xlfn.SEQUENCE(E23)^J23)*EXP(-L23*_xlfn.SEQUENCE(E23)))</f>
        <v>4500.1957848905859</v>
      </c>
      <c r="G23" s="5">
        <f t="shared" si="1"/>
        <v>22.388388498806162</v>
      </c>
      <c r="H23" s="6">
        <f t="shared" si="2"/>
        <v>27.131176470588233</v>
      </c>
      <c r="I23" s="42">
        <v>16.533000000000001</v>
      </c>
      <c r="J23" s="41">
        <v>0.13178000000000001</v>
      </c>
      <c r="K23" s="41">
        <v>3.4000000000000002E-2</v>
      </c>
      <c r="L23" s="41">
        <f t="shared" si="3"/>
        <v>4.8571428571428576E-3</v>
      </c>
      <c r="M23" s="7">
        <v>3.44</v>
      </c>
      <c r="N23" s="7">
        <v>4.0999999999999996</v>
      </c>
      <c r="O23" s="7">
        <v>5.45</v>
      </c>
    </row>
    <row r="24" spans="1:15" ht="14.25" customHeight="1" x14ac:dyDescent="0.3">
      <c r="A24" s="2">
        <v>23</v>
      </c>
      <c r="B24" s="2">
        <v>1</v>
      </c>
      <c r="C24" s="3">
        <v>46056</v>
      </c>
      <c r="D24" s="3">
        <v>46429</v>
      </c>
      <c r="E24" s="4">
        <f t="shared" si="0"/>
        <v>373</v>
      </c>
      <c r="F24" s="52" cm="1">
        <f t="array" ref="F24">SUM(I24*(_xlfn.SEQUENCE(E24)^J24)*EXP(-L24*_xlfn.SEQUENCE(E24)))</f>
        <v>5320.1584501355983</v>
      </c>
      <c r="G24" s="5">
        <f t="shared" si="1"/>
        <v>23.180671064719014</v>
      </c>
      <c r="H24" s="6">
        <f t="shared" si="2"/>
        <v>27.983990851915379</v>
      </c>
      <c r="I24" s="42">
        <v>16.731000000000002</v>
      </c>
      <c r="J24" s="41">
        <v>0.13983999999999999</v>
      </c>
      <c r="K24" s="41">
        <v>3.4979999999999997E-2</v>
      </c>
      <c r="L24" s="41">
        <f t="shared" si="3"/>
        <v>4.9971428571428571E-3</v>
      </c>
      <c r="M24" s="7">
        <v>4.32</v>
      </c>
      <c r="N24" s="7">
        <v>4</v>
      </c>
      <c r="O24" s="7">
        <v>5.45</v>
      </c>
    </row>
    <row r="25" spans="1:15" ht="14.25" customHeight="1" x14ac:dyDescent="0.3">
      <c r="A25" s="2">
        <v>24</v>
      </c>
      <c r="B25" s="2">
        <v>1</v>
      </c>
      <c r="C25" s="3">
        <v>46004</v>
      </c>
      <c r="D25" s="3">
        <v>46285</v>
      </c>
      <c r="E25" s="4">
        <f t="shared" si="0"/>
        <v>281</v>
      </c>
      <c r="F25" s="52" cm="1">
        <f t="array" ref="F25">SUM(I25*(_xlfn.SEQUENCE(E25)^J25)*EXP(-L25*_xlfn.SEQUENCE(E25)))</f>
        <v>4106.0141898182737</v>
      </c>
      <c r="G25" s="5">
        <f t="shared" si="1"/>
        <v>20.496891859958154</v>
      </c>
      <c r="H25" s="6">
        <f t="shared" si="2"/>
        <v>27.302028985507249</v>
      </c>
      <c r="I25" s="42">
        <v>15.026999999999999</v>
      </c>
      <c r="J25" s="41">
        <v>0.13456000000000001</v>
      </c>
      <c r="K25" s="41">
        <v>3.4500000000000003E-2</v>
      </c>
      <c r="L25" s="41">
        <f t="shared" si="3"/>
        <v>4.9285714285714289E-3</v>
      </c>
      <c r="M25" s="7">
        <v>5.2</v>
      </c>
      <c r="N25" s="7">
        <v>3.69</v>
      </c>
      <c r="O25" s="7">
        <v>5.45</v>
      </c>
    </row>
    <row r="26" spans="1:15" ht="14.25" customHeight="1" x14ac:dyDescent="0.3">
      <c r="A26" s="2">
        <v>25</v>
      </c>
      <c r="B26" s="2">
        <v>1</v>
      </c>
      <c r="C26" s="3">
        <v>45961</v>
      </c>
      <c r="D26" s="3">
        <v>46265</v>
      </c>
      <c r="E26" s="4">
        <f t="shared" si="0"/>
        <v>304</v>
      </c>
      <c r="F26" s="52" cm="1">
        <f t="array" ref="F26">SUM(I26*(_xlfn.SEQUENCE(E26)^J26)*EXP(-L26*_xlfn.SEQUENCE(E26)))</f>
        <v>5588.1562346838527</v>
      </c>
      <c r="G26" s="5">
        <f t="shared" si="1"/>
        <v>26.5815417804242</v>
      </c>
      <c r="H26" s="6">
        <f t="shared" si="2"/>
        <v>28.638752526710942</v>
      </c>
      <c r="I26" s="42">
        <v>19.041</v>
      </c>
      <c r="J26" s="41">
        <v>0.14168</v>
      </c>
      <c r="K26" s="41">
        <v>3.4630000000000001E-2</v>
      </c>
      <c r="L26" s="41">
        <f t="shared" si="3"/>
        <v>4.9471428571428574E-3</v>
      </c>
      <c r="M26" s="7">
        <v>4.41</v>
      </c>
      <c r="N26" s="7">
        <v>3.57</v>
      </c>
      <c r="O26" s="7">
        <v>5.45</v>
      </c>
    </row>
    <row r="27" spans="1:15" ht="14.25" customHeight="1" x14ac:dyDescent="0.3">
      <c r="A27" s="2">
        <v>26</v>
      </c>
      <c r="B27" s="2">
        <v>1</v>
      </c>
      <c r="C27" s="3">
        <v>45909</v>
      </c>
      <c r="D27" s="3">
        <v>46208</v>
      </c>
      <c r="E27" s="4">
        <f t="shared" si="0"/>
        <v>299</v>
      </c>
      <c r="F27" s="52" cm="1">
        <f t="array" ref="F27">SUM(I27*(_xlfn.SEQUENCE(E27)^J27)*EXP(-L27*_xlfn.SEQUENCE(E27)))</f>
        <v>6498.3794334383874</v>
      </c>
      <c r="G27" s="5">
        <f t="shared" si="1"/>
        <v>31.301465832226175</v>
      </c>
      <c r="H27" s="6">
        <f t="shared" si="2"/>
        <v>26.99030552291422</v>
      </c>
      <c r="I27" s="42">
        <v>23.158999999999999</v>
      </c>
      <c r="J27" s="41">
        <v>0.13125000000000001</v>
      </c>
      <c r="K27" s="41">
        <v>3.4040000000000001E-2</v>
      </c>
      <c r="L27" s="41">
        <f t="shared" si="3"/>
        <v>4.8628571428571427E-3</v>
      </c>
      <c r="M27" s="7">
        <v>5.14</v>
      </c>
      <c r="N27" s="7">
        <v>3.14</v>
      </c>
      <c r="O27" s="7">
        <v>5.45</v>
      </c>
    </row>
    <row r="28" spans="1:15" ht="14.25" customHeight="1" x14ac:dyDescent="0.3">
      <c r="A28" s="2">
        <v>27</v>
      </c>
      <c r="B28" s="2">
        <v>1</v>
      </c>
      <c r="C28" s="3">
        <v>46060</v>
      </c>
      <c r="D28" s="3">
        <v>46358</v>
      </c>
      <c r="E28" s="4">
        <f t="shared" si="0"/>
        <v>298</v>
      </c>
      <c r="F28" s="52" cm="1">
        <f t="array" ref="F28">SUM(I28*(_xlfn.SEQUENCE(E28)^J28)*EXP(-L28*_xlfn.SEQUENCE(E28)))</f>
        <v>5882.9569415750502</v>
      </c>
      <c r="G28" s="5">
        <f t="shared" si="1"/>
        <v>28.056282340832595</v>
      </c>
      <c r="H28" s="6">
        <f t="shared" si="2"/>
        <v>26.323456790123462</v>
      </c>
      <c r="I28" s="42">
        <v>21.276</v>
      </c>
      <c r="J28" s="41">
        <v>0.12184</v>
      </c>
      <c r="K28" s="41">
        <v>3.2399999999999998E-2</v>
      </c>
      <c r="L28" s="41">
        <f t="shared" si="3"/>
        <v>4.6285714285714281E-3</v>
      </c>
      <c r="M28" s="7">
        <v>4.1100000000000003</v>
      </c>
      <c r="N28" s="7">
        <v>3.33</v>
      </c>
      <c r="O28" s="7">
        <v>5.45</v>
      </c>
    </row>
    <row r="29" spans="1:15" ht="14.25" customHeight="1" x14ac:dyDescent="0.3">
      <c r="A29" s="2">
        <v>28</v>
      </c>
      <c r="B29" s="2">
        <v>1</v>
      </c>
      <c r="C29" s="3">
        <v>46135</v>
      </c>
      <c r="D29" s="3">
        <v>46426</v>
      </c>
      <c r="E29" s="4">
        <f t="shared" si="0"/>
        <v>291</v>
      </c>
      <c r="F29" s="52" cm="1">
        <f t="array" ref="F29">SUM(I29*(_xlfn.SEQUENCE(E29)^J29)*EXP(-L29*_xlfn.SEQUENCE(E29)))</f>
        <v>5118.7930785717863</v>
      </c>
      <c r="G29" s="5">
        <f t="shared" si="1"/>
        <v>24.982705077794389</v>
      </c>
      <c r="H29" s="6">
        <f t="shared" si="2"/>
        <v>27.977694090382386</v>
      </c>
      <c r="I29" s="42">
        <v>18.111000000000001</v>
      </c>
      <c r="J29" s="41">
        <v>0.13797000000000001</v>
      </c>
      <c r="K29" s="41">
        <v>3.4520000000000002E-2</v>
      </c>
      <c r="L29" s="41">
        <f t="shared" si="3"/>
        <v>4.9314285714285718E-3</v>
      </c>
      <c r="M29" s="7">
        <v>5.81</v>
      </c>
      <c r="N29" s="7">
        <v>3.13</v>
      </c>
      <c r="O29" s="7">
        <v>5.45</v>
      </c>
    </row>
    <row r="30" spans="1:15" ht="14.25" customHeight="1" x14ac:dyDescent="0.3">
      <c r="A30" s="2">
        <v>29</v>
      </c>
      <c r="B30" s="2">
        <v>1</v>
      </c>
      <c r="C30" s="3">
        <v>46032</v>
      </c>
      <c r="D30" s="3">
        <v>46331</v>
      </c>
      <c r="E30" s="4">
        <f t="shared" si="0"/>
        <v>299</v>
      </c>
      <c r="F30" s="52" cm="1">
        <f t="array" ref="F30">SUM(I30*(_xlfn.SEQUENCE(E30)^J30)*EXP(-L30*_xlfn.SEQUENCE(E30)))</f>
        <v>7757.0593186810274</v>
      </c>
      <c r="G30" s="5">
        <f t="shared" si="1"/>
        <v>37.232742479826257</v>
      </c>
      <c r="H30" s="6">
        <f t="shared" si="2"/>
        <v>27.654828294687409</v>
      </c>
      <c r="I30" s="42">
        <v>27.247</v>
      </c>
      <c r="J30" s="41">
        <v>0.1346</v>
      </c>
      <c r="K30" s="41">
        <v>3.4070000000000003E-2</v>
      </c>
      <c r="L30" s="41">
        <f t="shared" si="3"/>
        <v>4.8671428571428572E-3</v>
      </c>
      <c r="M30" s="7">
        <v>4.46</v>
      </c>
      <c r="N30" s="7">
        <v>3.34</v>
      </c>
      <c r="O30" s="7">
        <v>5.45</v>
      </c>
    </row>
    <row r="31" spans="1:15" ht="14.25" customHeight="1" x14ac:dyDescent="0.3">
      <c r="A31" s="2">
        <v>30</v>
      </c>
      <c r="B31" s="2">
        <v>1</v>
      </c>
      <c r="C31" s="3">
        <v>45989</v>
      </c>
      <c r="D31" s="3">
        <v>46285</v>
      </c>
      <c r="E31" s="4">
        <f t="shared" si="0"/>
        <v>296</v>
      </c>
      <c r="F31" s="52" cm="1">
        <f t="array" ref="F31">SUM(I31*(_xlfn.SEQUENCE(E31)^J31)*EXP(-L31*_xlfn.SEQUENCE(E31)))</f>
        <v>6194.9408920616825</v>
      </c>
      <c r="G31" s="5">
        <f t="shared" si="1"/>
        <v>30.018447343028708</v>
      </c>
      <c r="H31" s="6">
        <f t="shared" si="2"/>
        <v>26.877203290246772</v>
      </c>
      <c r="I31" s="42">
        <v>22.25</v>
      </c>
      <c r="J31" s="41">
        <v>0.13070000000000001</v>
      </c>
      <c r="K31" s="41">
        <v>3.4040000000000001E-2</v>
      </c>
      <c r="L31" s="41">
        <f t="shared" si="3"/>
        <v>4.8628571428571427E-3</v>
      </c>
      <c r="M31" s="7">
        <v>4.13</v>
      </c>
      <c r="N31" s="7">
        <v>3.42</v>
      </c>
      <c r="O31" s="7">
        <v>5.45</v>
      </c>
    </row>
    <row r="32" spans="1:15" ht="14.25" customHeight="1" x14ac:dyDescent="0.3">
      <c r="A32" s="2">
        <v>31</v>
      </c>
      <c r="B32" s="2">
        <v>1</v>
      </c>
      <c r="C32" s="3">
        <v>46059</v>
      </c>
      <c r="D32" s="3">
        <v>46404</v>
      </c>
      <c r="E32" s="4">
        <f t="shared" si="0"/>
        <v>345</v>
      </c>
      <c r="F32" s="52" cm="1">
        <f t="array" ref="F32">SUM(I32*(_xlfn.SEQUENCE(E32)^J32)*EXP(-L32*_xlfn.SEQUENCE(E32)))</f>
        <v>6354.5907435246136</v>
      </c>
      <c r="G32" s="5">
        <f t="shared" si="1"/>
        <v>29.276502422649951</v>
      </c>
      <c r="H32" s="6">
        <f t="shared" si="2"/>
        <v>25.614887640449439</v>
      </c>
      <c r="I32" s="42">
        <v>21.858000000000001</v>
      </c>
      <c r="J32" s="41">
        <v>0.13027</v>
      </c>
      <c r="K32" s="41">
        <v>3.56E-2</v>
      </c>
      <c r="L32" s="41">
        <f t="shared" si="3"/>
        <v>5.0857142857142854E-3</v>
      </c>
      <c r="M32" s="7">
        <v>3.33</v>
      </c>
      <c r="N32" s="7">
        <v>3.24</v>
      </c>
      <c r="O32" s="7">
        <v>5.45</v>
      </c>
    </row>
    <row r="33" spans="1:15" ht="14.25" customHeight="1" x14ac:dyDescent="0.3">
      <c r="A33" s="2">
        <v>32</v>
      </c>
      <c r="B33" s="2">
        <v>1</v>
      </c>
      <c r="C33" s="3">
        <v>46085</v>
      </c>
      <c r="D33" s="3">
        <v>46440</v>
      </c>
      <c r="E33" s="4">
        <f t="shared" si="0"/>
        <v>355</v>
      </c>
      <c r="F33" s="52" cm="1">
        <f t="array" ref="F33">SUM(I33*(_xlfn.SEQUENCE(E33)^J33)*EXP(-L33*_xlfn.SEQUENCE(E33)))</f>
        <v>5419.1040363136126</v>
      </c>
      <c r="G33" s="5">
        <f t="shared" si="1"/>
        <v>23.90740946722125</v>
      </c>
      <c r="H33" s="6">
        <f t="shared" si="2"/>
        <v>27.897510980966327</v>
      </c>
      <c r="I33" s="42">
        <v>17.414000000000001</v>
      </c>
      <c r="J33" s="41">
        <v>0.1361</v>
      </c>
      <c r="K33" s="41">
        <v>3.415E-2</v>
      </c>
      <c r="L33" s="41">
        <f t="shared" si="3"/>
        <v>4.8785714285714283E-3</v>
      </c>
      <c r="M33" s="7">
        <v>4.1900000000000004</v>
      </c>
      <c r="N33" s="7">
        <v>3.23</v>
      </c>
      <c r="O33" s="7">
        <v>5.45</v>
      </c>
    </row>
    <row r="34" spans="1:15" ht="14.25" customHeight="1" x14ac:dyDescent="0.3">
      <c r="A34" s="2">
        <v>33</v>
      </c>
      <c r="B34" s="2">
        <v>1</v>
      </c>
      <c r="C34" s="3">
        <v>46061</v>
      </c>
      <c r="D34" s="3">
        <v>46342</v>
      </c>
      <c r="E34" s="4">
        <f t="shared" ref="E34:E65" si="4">IFERROR(IF(OR(C34="",D34=""),"",D34-C34),"")</f>
        <v>281</v>
      </c>
      <c r="F34" s="52" cm="1">
        <f t="array" ref="F34">SUM(I34*(_xlfn.SEQUENCE(E34)^J34)*EXP(-L34*_xlfn.SEQUENCE(E34)))</f>
        <v>3425.9089938937673</v>
      </c>
      <c r="G34" s="5">
        <f t="shared" si="1"/>
        <v>17.104092807091611</v>
      </c>
      <c r="H34" s="6">
        <f t="shared" si="2"/>
        <v>25.436974789915965</v>
      </c>
      <c r="I34" s="42">
        <v>13.047000000000001</v>
      </c>
      <c r="J34" s="41">
        <v>0.12107999999999999</v>
      </c>
      <c r="K34" s="41">
        <v>3.3320000000000002E-2</v>
      </c>
      <c r="L34" s="41">
        <f t="shared" si="3"/>
        <v>4.7600000000000003E-3</v>
      </c>
      <c r="M34" s="7">
        <v>4.1900000000000004</v>
      </c>
      <c r="N34" s="7">
        <v>3.18</v>
      </c>
      <c r="O34" s="7">
        <v>5.45</v>
      </c>
    </row>
    <row r="35" spans="1:15" ht="14.25" customHeight="1" x14ac:dyDescent="0.3">
      <c r="A35" s="2">
        <v>34</v>
      </c>
      <c r="B35" s="2">
        <v>1</v>
      </c>
      <c r="C35" s="3">
        <v>46017</v>
      </c>
      <c r="D35" s="3">
        <v>46356</v>
      </c>
      <c r="E35" s="4">
        <f t="shared" si="4"/>
        <v>339</v>
      </c>
      <c r="F35" s="52" cm="1">
        <f t="array" ref="F35">SUM(I35*(_xlfn.SEQUENCE(E35)^J35)*EXP(-L35*_xlfn.SEQUENCE(E35)))</f>
        <v>6794.2995346421185</v>
      </c>
      <c r="G35" s="5">
        <f t="shared" si="1"/>
        <v>31.249384323795375</v>
      </c>
      <c r="H35" s="6">
        <f t="shared" si="2"/>
        <v>24.822825452422652</v>
      </c>
      <c r="I35" s="42">
        <v>23.885999999999999</v>
      </c>
      <c r="J35" s="41">
        <v>0.12149</v>
      </c>
      <c r="K35" s="41">
        <v>3.4259999999999999E-2</v>
      </c>
      <c r="L35" s="41">
        <f t="shared" si="3"/>
        <v>4.8942857142857139E-3</v>
      </c>
      <c r="M35" s="7">
        <v>4.91</v>
      </c>
      <c r="N35" s="7">
        <v>3.46</v>
      </c>
      <c r="O35" s="7">
        <v>5.45</v>
      </c>
    </row>
    <row r="36" spans="1:15" ht="14.25" customHeight="1" x14ac:dyDescent="0.3">
      <c r="A36" s="2">
        <v>35</v>
      </c>
      <c r="B36" s="2">
        <v>1</v>
      </c>
      <c r="C36" s="3">
        <v>45982</v>
      </c>
      <c r="D36" s="3">
        <v>46265</v>
      </c>
      <c r="E36" s="4">
        <f t="shared" si="4"/>
        <v>283</v>
      </c>
      <c r="F36" s="52" cm="1">
        <f t="array" ref="F36">SUM(I36*(_xlfn.SEQUENCE(E36)^J36)*EXP(-L36*_xlfn.SEQUENCE(E36)))</f>
        <v>4353.5700128455701</v>
      </c>
      <c r="G36" s="5">
        <f t="shared" si="1"/>
        <v>21.505444485919838</v>
      </c>
      <c r="H36" s="6">
        <f t="shared" si="2"/>
        <v>27.199821852731588</v>
      </c>
      <c r="I36" s="42">
        <v>15.909000000000001</v>
      </c>
      <c r="J36" s="41">
        <v>0.13086999999999999</v>
      </c>
      <c r="K36" s="41">
        <v>3.3680000000000002E-2</v>
      </c>
      <c r="L36" s="41">
        <f t="shared" si="3"/>
        <v>4.8114285714285715E-3</v>
      </c>
      <c r="M36" s="7">
        <v>2.93</v>
      </c>
      <c r="N36" s="7">
        <v>3.72</v>
      </c>
      <c r="O36" s="7">
        <v>5.45</v>
      </c>
    </row>
    <row r="37" spans="1:15" ht="14.25" customHeight="1" x14ac:dyDescent="0.3">
      <c r="A37" s="2">
        <v>36</v>
      </c>
      <c r="B37" s="2">
        <v>1</v>
      </c>
      <c r="C37" s="3">
        <v>46047</v>
      </c>
      <c r="D37" s="3">
        <v>46339</v>
      </c>
      <c r="E37" s="4">
        <f t="shared" si="4"/>
        <v>292</v>
      </c>
      <c r="F37" s="52" cm="1">
        <f t="array" ref="F37">SUM(I37*(_xlfn.SEQUENCE(E37)^J37)*EXP(-L37*_xlfn.SEQUENCE(E37)))</f>
        <v>6066.7432975100655</v>
      </c>
      <c r="G37" s="5">
        <f t="shared" si="1"/>
        <v>29.439441427770692</v>
      </c>
      <c r="H37" s="6">
        <f t="shared" si="2"/>
        <v>27.548787699586043</v>
      </c>
      <c r="I37" s="42">
        <v>21.63</v>
      </c>
      <c r="J37" s="41">
        <v>0.1331</v>
      </c>
      <c r="K37" s="41">
        <v>3.3820000000000003E-2</v>
      </c>
      <c r="L37" s="41">
        <f t="shared" si="3"/>
        <v>4.8314285714285716E-3</v>
      </c>
      <c r="M37" s="7">
        <v>3.34</v>
      </c>
      <c r="N37" s="7">
        <v>3.57</v>
      </c>
      <c r="O37" s="7">
        <v>5.45</v>
      </c>
    </row>
    <row r="38" spans="1:15" ht="14.25" customHeight="1" x14ac:dyDescent="0.3">
      <c r="A38" s="2">
        <v>37</v>
      </c>
      <c r="B38" s="2">
        <v>1</v>
      </c>
      <c r="C38" s="3">
        <v>45985</v>
      </c>
      <c r="D38" s="3">
        <v>46350</v>
      </c>
      <c r="E38" s="4">
        <f t="shared" si="4"/>
        <v>365</v>
      </c>
      <c r="F38" s="52" cm="1">
        <f t="array" ref="F38">SUM(I38*(_xlfn.SEQUENCE(E38)^J38)*EXP(-L38*_xlfn.SEQUENCE(E38)))</f>
        <v>6086.7137578605198</v>
      </c>
      <c r="G38" s="5">
        <f t="shared" si="1"/>
        <v>26.737249338282425</v>
      </c>
      <c r="H38" s="6">
        <f t="shared" si="2"/>
        <v>27.563762261973451</v>
      </c>
      <c r="I38" s="42">
        <v>19.489999999999998</v>
      </c>
      <c r="J38" s="41">
        <v>0.13647999999999999</v>
      </c>
      <c r="K38" s="41">
        <v>3.4660000000000003E-2</v>
      </c>
      <c r="L38" s="41">
        <f t="shared" si="3"/>
        <v>4.9514285714285719E-3</v>
      </c>
      <c r="M38" s="7">
        <v>4.6399999999999997</v>
      </c>
      <c r="N38" s="7">
        <v>3.71</v>
      </c>
      <c r="O38" s="7">
        <v>5.45</v>
      </c>
    </row>
    <row r="39" spans="1:15" ht="14.25" customHeight="1" x14ac:dyDescent="0.3">
      <c r="A39" s="2">
        <v>38</v>
      </c>
      <c r="B39" s="2">
        <v>1</v>
      </c>
      <c r="C39" s="3">
        <v>45979</v>
      </c>
      <c r="D39" s="3">
        <v>46265</v>
      </c>
      <c r="E39" s="4">
        <f t="shared" si="4"/>
        <v>286</v>
      </c>
      <c r="F39" s="52" cm="1">
        <f t="array" ref="F39">SUM(I39*(_xlfn.SEQUENCE(E39)^J39)*EXP(-L39*_xlfn.SEQUENCE(E39)))</f>
        <v>5211.0082320350448</v>
      </c>
      <c r="G39" s="5">
        <f t="shared" si="1"/>
        <v>26.040513546148187</v>
      </c>
      <c r="H39" s="6">
        <f t="shared" si="2"/>
        <v>25.829879101899827</v>
      </c>
      <c r="I39" s="42">
        <v>19.512</v>
      </c>
      <c r="J39" s="41">
        <v>0.12819</v>
      </c>
      <c r="K39" s="41">
        <v>3.474E-2</v>
      </c>
      <c r="L39" s="41">
        <f t="shared" si="3"/>
        <v>4.962857142857143E-3</v>
      </c>
      <c r="M39" s="7">
        <v>5.38</v>
      </c>
      <c r="N39" s="7">
        <v>3.72</v>
      </c>
      <c r="O39" s="7">
        <v>5.45</v>
      </c>
    </row>
    <row r="40" spans="1:15" ht="14.25" customHeight="1" x14ac:dyDescent="0.3">
      <c r="A40" s="2">
        <v>39</v>
      </c>
      <c r="B40" s="2">
        <v>1</v>
      </c>
      <c r="C40" s="3">
        <v>46133</v>
      </c>
      <c r="D40" s="3">
        <v>46378</v>
      </c>
      <c r="E40" s="4">
        <f t="shared" si="4"/>
        <v>245</v>
      </c>
      <c r="F40" s="52" cm="1">
        <f t="array" ref="F40">SUM(I40*(_xlfn.SEQUENCE(E40)^J40)*EXP(-L40*_xlfn.SEQUENCE(E40)))</f>
        <v>4845.7646026414595</v>
      </c>
      <c r="G40" s="5">
        <f t="shared" si="1"/>
        <v>25.833370354619131</v>
      </c>
      <c r="H40" s="6">
        <f t="shared" si="2"/>
        <v>28.491631799163184</v>
      </c>
      <c r="I40" s="42">
        <v>18.759</v>
      </c>
      <c r="J40" s="41">
        <v>0.13619000000000001</v>
      </c>
      <c r="K40" s="41">
        <v>3.3459999999999997E-2</v>
      </c>
      <c r="L40" s="41">
        <f t="shared" si="3"/>
        <v>4.7799999999999995E-3</v>
      </c>
      <c r="M40" s="7">
        <v>5.13</v>
      </c>
      <c r="N40" s="7">
        <v>3.57</v>
      </c>
      <c r="O40" s="7">
        <v>5.45</v>
      </c>
    </row>
    <row r="41" spans="1:15" ht="14.25" customHeight="1" x14ac:dyDescent="0.3">
      <c r="A41" s="2">
        <v>40</v>
      </c>
      <c r="B41" s="2">
        <v>1</v>
      </c>
      <c r="C41" s="3">
        <v>46017</v>
      </c>
      <c r="D41" s="3">
        <v>46371</v>
      </c>
      <c r="E41" s="4">
        <f t="shared" si="4"/>
        <v>354</v>
      </c>
      <c r="F41" s="52" cm="1">
        <f t="array" ref="F41">SUM(I41*(_xlfn.SEQUENCE(E41)^J41)*EXP(-L41*_xlfn.SEQUENCE(E41)))</f>
        <v>8181.5495781370464</v>
      </c>
      <c r="G41" s="5">
        <f t="shared" si="1"/>
        <v>36.580370439367208</v>
      </c>
      <c r="H41" s="6">
        <f t="shared" si="2"/>
        <v>25.923798358733883</v>
      </c>
      <c r="I41" s="42">
        <v>27.51</v>
      </c>
      <c r="J41" s="41">
        <v>0.12636</v>
      </c>
      <c r="K41" s="41">
        <v>3.4119999999999998E-2</v>
      </c>
      <c r="L41" s="41">
        <f t="shared" si="3"/>
        <v>4.8742857142857138E-3</v>
      </c>
      <c r="M41" s="7">
        <v>4.3899999999999997</v>
      </c>
      <c r="N41" s="7">
        <v>3.31</v>
      </c>
      <c r="O41" s="7">
        <v>5.45</v>
      </c>
    </row>
    <row r="42" spans="1:15" ht="14.25" customHeight="1" x14ac:dyDescent="0.3">
      <c r="A42" s="2">
        <v>41</v>
      </c>
      <c r="B42" s="2">
        <v>1</v>
      </c>
      <c r="C42" s="3">
        <v>46080</v>
      </c>
      <c r="D42" s="3">
        <v>46340</v>
      </c>
      <c r="E42" s="4">
        <f t="shared" si="4"/>
        <v>260</v>
      </c>
      <c r="F42" s="52" cm="1">
        <f t="array" ref="F42">SUM(I42*(_xlfn.SEQUENCE(E42)^J42)*EXP(-L42*_xlfn.SEQUENCE(E42)))</f>
        <v>5150.1002400112502</v>
      </c>
      <c r="G42" s="5">
        <f t="shared" si="1"/>
        <v>26.593535364494858</v>
      </c>
      <c r="H42" s="6">
        <f t="shared" si="2"/>
        <v>28.178106508875743</v>
      </c>
      <c r="I42" s="42">
        <v>19.346</v>
      </c>
      <c r="J42" s="41">
        <v>0.13605999999999999</v>
      </c>
      <c r="K42" s="41">
        <v>3.3799999999999997E-2</v>
      </c>
      <c r="L42" s="41">
        <f t="shared" si="3"/>
        <v>4.8285714285714277E-3</v>
      </c>
      <c r="M42" s="7">
        <v>4.12</v>
      </c>
      <c r="N42" s="7">
        <v>3.7</v>
      </c>
      <c r="O42" s="7">
        <v>5.45</v>
      </c>
    </row>
    <row r="43" spans="1:15" ht="14.25" customHeight="1" x14ac:dyDescent="0.3">
      <c r="A43" s="2">
        <v>42</v>
      </c>
      <c r="B43" s="2">
        <v>1</v>
      </c>
      <c r="C43" s="3">
        <v>45968</v>
      </c>
      <c r="D43" s="3">
        <v>46316</v>
      </c>
      <c r="E43" s="4">
        <f t="shared" si="4"/>
        <v>348</v>
      </c>
      <c r="F43" s="52" cm="1">
        <f t="array" ref="F43">SUM(I43*(_xlfn.SEQUENCE(E43)^J43)*EXP(-L43*_xlfn.SEQUENCE(E43)))</f>
        <v>3523.3910741726518</v>
      </c>
      <c r="G43" s="5">
        <f t="shared" si="1"/>
        <v>15.986685840940886</v>
      </c>
      <c r="H43" s="6">
        <f t="shared" si="2"/>
        <v>25.443284015085585</v>
      </c>
      <c r="I43" s="42">
        <v>12.08</v>
      </c>
      <c r="J43" s="41">
        <v>0.12529000000000001</v>
      </c>
      <c r="K43" s="41">
        <v>3.4470000000000001E-2</v>
      </c>
      <c r="L43" s="41">
        <f t="shared" si="3"/>
        <v>4.9242857142857144E-3</v>
      </c>
      <c r="M43" s="7">
        <v>3.99</v>
      </c>
      <c r="N43" s="7">
        <v>3.24</v>
      </c>
      <c r="O43" s="7">
        <v>5.45</v>
      </c>
    </row>
    <row r="44" spans="1:15" ht="14.25" customHeight="1" x14ac:dyDescent="0.3">
      <c r="A44" s="2">
        <v>43</v>
      </c>
      <c r="B44" s="2">
        <v>1</v>
      </c>
      <c r="C44" s="3">
        <v>46091</v>
      </c>
      <c r="D44" s="3">
        <v>46362</v>
      </c>
      <c r="E44" s="4">
        <f t="shared" si="4"/>
        <v>271</v>
      </c>
      <c r="F44" s="52" cm="1">
        <f t="array" ref="F44">SUM(I44*(_xlfn.SEQUENCE(E44)^J44)*EXP(-L44*_xlfn.SEQUENCE(E44)))</f>
        <v>4826.7443416052392</v>
      </c>
      <c r="G44" s="5">
        <f t="shared" si="1"/>
        <v>24.702553428140302</v>
      </c>
      <c r="H44" s="6">
        <f t="shared" si="2"/>
        <v>26.745244956772336</v>
      </c>
      <c r="I44" s="42">
        <v>18.242999999999999</v>
      </c>
      <c r="J44" s="41">
        <v>0.13258</v>
      </c>
      <c r="K44" s="41">
        <v>3.4700000000000002E-2</v>
      </c>
      <c r="L44" s="41">
        <f t="shared" si="3"/>
        <v>4.957142857142857E-3</v>
      </c>
      <c r="M44" s="7">
        <v>4.59</v>
      </c>
      <c r="N44" s="7">
        <v>3.48</v>
      </c>
      <c r="O44" s="7">
        <v>5.45</v>
      </c>
    </row>
    <row r="45" spans="1:15" ht="14.25" customHeight="1" x14ac:dyDescent="0.3">
      <c r="A45" s="2">
        <v>44</v>
      </c>
      <c r="B45" s="2">
        <v>1</v>
      </c>
      <c r="C45" s="3">
        <v>46027</v>
      </c>
      <c r="D45" s="3">
        <v>46334</v>
      </c>
      <c r="E45" s="4">
        <f t="shared" si="4"/>
        <v>307</v>
      </c>
      <c r="F45" s="52" cm="1">
        <f t="array" ref="F45">SUM(I45*(_xlfn.SEQUENCE(E45)^J45)*EXP(-L45*_xlfn.SEQUENCE(E45)))</f>
        <v>5481.1766735207584</v>
      </c>
      <c r="G45" s="5">
        <f t="shared" si="1"/>
        <v>25.440957645407629</v>
      </c>
      <c r="H45" s="6">
        <f t="shared" si="2"/>
        <v>28.944732824427483</v>
      </c>
      <c r="I45" s="42">
        <v>18.468</v>
      </c>
      <c r="J45" s="41">
        <v>0.13542000000000001</v>
      </c>
      <c r="K45" s="41">
        <v>3.2750000000000001E-2</v>
      </c>
      <c r="L45" s="41">
        <f t="shared" si="3"/>
        <v>4.6785714285714286E-3</v>
      </c>
      <c r="M45" s="7">
        <v>5.29</v>
      </c>
      <c r="N45" s="7">
        <v>3.13</v>
      </c>
      <c r="O45" s="7">
        <v>5.45</v>
      </c>
    </row>
    <row r="46" spans="1:15" ht="14.25" customHeight="1" x14ac:dyDescent="0.3">
      <c r="A46" s="2">
        <v>45</v>
      </c>
      <c r="B46" s="2">
        <v>1</v>
      </c>
      <c r="C46" s="3">
        <v>46029</v>
      </c>
      <c r="D46" s="3">
        <v>46356</v>
      </c>
      <c r="E46" s="4">
        <f t="shared" si="4"/>
        <v>327</v>
      </c>
      <c r="F46" s="52" cm="1">
        <f t="array" ref="F46">SUM(I46*(_xlfn.SEQUENCE(E46)^J46)*EXP(-L46*_xlfn.SEQUENCE(E46)))</f>
        <v>6126.2415408112238</v>
      </c>
      <c r="G46" s="5">
        <f t="shared" si="1"/>
        <v>28.976725785089425</v>
      </c>
      <c r="H46" s="6">
        <f t="shared" si="2"/>
        <v>24.27680869316557</v>
      </c>
      <c r="I46" s="42">
        <v>22.219000000000001</v>
      </c>
      <c r="J46" s="41">
        <v>0.12128</v>
      </c>
      <c r="K46" s="41">
        <v>3.4970000000000001E-2</v>
      </c>
      <c r="L46" s="41">
        <f t="shared" si="3"/>
        <v>4.9957142857142856E-3</v>
      </c>
      <c r="M46" s="7">
        <v>5.18</v>
      </c>
      <c r="N46" s="7">
        <v>3.56</v>
      </c>
      <c r="O46" s="7">
        <v>5.45</v>
      </c>
    </row>
    <row r="47" spans="1:15" ht="14.25" customHeight="1" x14ac:dyDescent="0.3">
      <c r="A47" s="2">
        <v>46</v>
      </c>
      <c r="B47" s="2">
        <v>1</v>
      </c>
      <c r="C47" s="3">
        <v>45893</v>
      </c>
      <c r="D47" s="3">
        <v>46217</v>
      </c>
      <c r="E47" s="4">
        <f t="shared" si="4"/>
        <v>324</v>
      </c>
      <c r="F47" s="52" cm="1">
        <f t="array" ref="F47">SUM(I47*(_xlfn.SEQUENCE(E47)^J47)*EXP(-L47*_xlfn.SEQUENCE(E47)))</f>
        <v>6654.4353411206466</v>
      </c>
      <c r="G47" s="5">
        <f t="shared" si="1"/>
        <v>30.395844645443542</v>
      </c>
      <c r="H47" s="6">
        <f t="shared" si="2"/>
        <v>28.752955082742318</v>
      </c>
      <c r="I47" s="42">
        <v>21.899000000000001</v>
      </c>
      <c r="J47" s="41">
        <v>0.13900000000000001</v>
      </c>
      <c r="K47" s="41">
        <v>3.3840000000000002E-2</v>
      </c>
      <c r="L47" s="41">
        <f t="shared" si="3"/>
        <v>4.8342857142857146E-3</v>
      </c>
      <c r="M47" s="7">
        <v>3.88</v>
      </c>
      <c r="N47" s="7">
        <v>3.81</v>
      </c>
      <c r="O47" s="7">
        <v>5.45</v>
      </c>
    </row>
    <row r="48" spans="1:15" ht="14.25" customHeight="1" x14ac:dyDescent="0.3">
      <c r="A48" s="2">
        <v>47</v>
      </c>
      <c r="B48" s="2">
        <v>1</v>
      </c>
      <c r="C48" s="3">
        <v>45944</v>
      </c>
      <c r="D48" s="3">
        <v>46276</v>
      </c>
      <c r="E48" s="4">
        <f t="shared" si="4"/>
        <v>332</v>
      </c>
      <c r="F48" s="52" cm="1">
        <f t="array" ref="F48">SUM(I48*(_xlfn.SEQUENCE(E48)^J48)*EXP(-L48*_xlfn.SEQUENCE(E48)))</f>
        <v>7193.1383612901527</v>
      </c>
      <c r="G48" s="5">
        <f t="shared" si="1"/>
        <v>33.27786109725389</v>
      </c>
      <c r="H48" s="6">
        <f t="shared" si="2"/>
        <v>26.9269055745165</v>
      </c>
      <c r="I48" s="42">
        <v>24.404</v>
      </c>
      <c r="J48" s="41">
        <v>0.13525000000000001</v>
      </c>
      <c r="K48" s="41">
        <v>3.5159999999999997E-2</v>
      </c>
      <c r="L48" s="41">
        <f t="shared" si="3"/>
        <v>5.0228571428571423E-3</v>
      </c>
      <c r="M48" s="7">
        <v>3.09</v>
      </c>
      <c r="N48" s="7">
        <v>3.59</v>
      </c>
      <c r="O48" s="7">
        <v>5.45</v>
      </c>
    </row>
    <row r="49" spans="1:15" ht="14.25" customHeight="1" x14ac:dyDescent="0.3">
      <c r="A49" s="2">
        <v>48</v>
      </c>
      <c r="B49" s="2">
        <v>1</v>
      </c>
      <c r="C49" s="3">
        <v>45979</v>
      </c>
      <c r="D49" s="3">
        <v>46250</v>
      </c>
      <c r="E49" s="4">
        <f t="shared" si="4"/>
        <v>271</v>
      </c>
      <c r="F49" s="52" cm="1">
        <f t="array" ref="F49">SUM(I49*(_xlfn.SEQUENCE(E49)^J49)*EXP(-L49*_xlfn.SEQUENCE(E49)))</f>
        <v>3361.0019695994597</v>
      </c>
      <c r="G49" s="5">
        <f t="shared" si="1"/>
        <v>16.737461690546414</v>
      </c>
      <c r="H49" s="6">
        <f t="shared" si="2"/>
        <v>29.062347931873479</v>
      </c>
      <c r="I49" s="42">
        <v>12.112</v>
      </c>
      <c r="J49" s="41">
        <v>0.13650999999999999</v>
      </c>
      <c r="K49" s="41">
        <v>3.288E-2</v>
      </c>
      <c r="L49" s="41">
        <f t="shared" si="3"/>
        <v>4.6971428571428572E-3</v>
      </c>
      <c r="M49" s="7">
        <v>5.14</v>
      </c>
      <c r="N49" s="7">
        <v>2.96</v>
      </c>
      <c r="O49" s="7">
        <v>5.45</v>
      </c>
    </row>
    <row r="50" spans="1:15" ht="14.25" customHeight="1" x14ac:dyDescent="0.3">
      <c r="A50" s="2">
        <v>49</v>
      </c>
      <c r="B50" s="2">
        <v>1</v>
      </c>
      <c r="C50" s="3">
        <v>45993</v>
      </c>
      <c r="D50" s="3">
        <v>46231</v>
      </c>
      <c r="E50" s="4">
        <f t="shared" si="4"/>
        <v>238</v>
      </c>
      <c r="F50" s="52" cm="1">
        <f t="array" ref="F50">SUM(I50*(_xlfn.SEQUENCE(E50)^J50)*EXP(-L50*_xlfn.SEQUENCE(E50)))</f>
        <v>6905.99542961324</v>
      </c>
      <c r="G50" s="5">
        <f t="shared" si="1"/>
        <v>38.222047988302485</v>
      </c>
      <c r="H50" s="6">
        <f t="shared" si="2"/>
        <v>26.978087649402394</v>
      </c>
      <c r="I50" s="42">
        <v>28.010999999999999</v>
      </c>
      <c r="J50" s="41">
        <v>0.13542999999999999</v>
      </c>
      <c r="K50" s="41">
        <v>3.5139999999999998E-2</v>
      </c>
      <c r="L50" s="41">
        <f t="shared" si="3"/>
        <v>5.0199999999999993E-3</v>
      </c>
      <c r="M50" s="7">
        <v>3.95</v>
      </c>
      <c r="N50" s="7">
        <v>2.83</v>
      </c>
      <c r="O50" s="7">
        <v>5.45</v>
      </c>
    </row>
    <row r="51" spans="1:15" ht="14.25" customHeight="1" x14ac:dyDescent="0.3">
      <c r="A51" s="2">
        <v>50</v>
      </c>
      <c r="B51" s="2">
        <v>1</v>
      </c>
      <c r="C51" s="3">
        <v>46091</v>
      </c>
      <c r="D51" s="3">
        <v>46354</v>
      </c>
      <c r="E51" s="4">
        <f t="shared" si="4"/>
        <v>263</v>
      </c>
      <c r="F51" s="52" cm="1">
        <f t="array" ref="F51">SUM(I51*(_xlfn.SEQUENCE(E51)^J51)*EXP(-L51*_xlfn.SEQUENCE(E51)))</f>
        <v>5153.9026316524833</v>
      </c>
      <c r="G51" s="5">
        <f t="shared" si="1"/>
        <v>26.541390210572519</v>
      </c>
      <c r="H51" s="6">
        <f t="shared" si="2"/>
        <v>27.169985141158993</v>
      </c>
      <c r="I51" s="42">
        <v>19.649000000000001</v>
      </c>
      <c r="J51" s="41">
        <v>0.13061</v>
      </c>
      <c r="K51" s="41">
        <v>3.3649999999999999E-2</v>
      </c>
      <c r="L51" s="41">
        <f t="shared" si="3"/>
        <v>4.8071428571428571E-3</v>
      </c>
      <c r="M51" s="7">
        <v>3.64</v>
      </c>
      <c r="N51" s="7">
        <v>4.1399999999999997</v>
      </c>
      <c r="O51" s="7">
        <v>5.45</v>
      </c>
    </row>
    <row r="52" spans="1:15" ht="14.25" customHeight="1" x14ac:dyDescent="0.3">
      <c r="A52" s="2">
        <v>51</v>
      </c>
      <c r="B52" s="2">
        <v>1</v>
      </c>
      <c r="C52" s="3">
        <v>46030</v>
      </c>
      <c r="D52" s="3">
        <v>46342</v>
      </c>
      <c r="E52" s="4">
        <f t="shared" si="4"/>
        <v>312</v>
      </c>
      <c r="F52" s="52" cm="1">
        <f t="array" ref="F52">SUM(I52*(_xlfn.SEQUENCE(E52)^J52)*EXP(-L52*_xlfn.SEQUENCE(E52)))</f>
        <v>5181.8598953099781</v>
      </c>
      <c r="G52" s="5">
        <f t="shared" si="1"/>
        <v>23.847183317823056</v>
      </c>
      <c r="H52" s="6">
        <f t="shared" si="2"/>
        <v>29.066422912858012</v>
      </c>
      <c r="I52" s="42">
        <v>17.265999999999998</v>
      </c>
      <c r="J52" s="41">
        <v>0.13628000000000001</v>
      </c>
      <c r="K52" s="41">
        <v>3.2820000000000002E-2</v>
      </c>
      <c r="L52" s="41">
        <f t="shared" si="3"/>
        <v>4.6885714285714291E-3</v>
      </c>
      <c r="M52" s="7">
        <v>5.09</v>
      </c>
      <c r="N52" s="7">
        <v>3.6</v>
      </c>
      <c r="O52" s="7">
        <v>5.45</v>
      </c>
    </row>
    <row r="53" spans="1:15" ht="14.25" customHeight="1" x14ac:dyDescent="0.3">
      <c r="A53" s="2">
        <v>52</v>
      </c>
      <c r="B53" s="2">
        <v>1</v>
      </c>
      <c r="C53" s="3">
        <v>45980</v>
      </c>
      <c r="D53" s="3">
        <v>46274</v>
      </c>
      <c r="E53" s="4">
        <f t="shared" si="4"/>
        <v>294</v>
      </c>
      <c r="F53" s="52" cm="1">
        <f t="array" ref="F53">SUM(I53*(_xlfn.SEQUENCE(E53)^J53)*EXP(-L53*_xlfn.SEQUENCE(E53)))</f>
        <v>5847.1853208551092</v>
      </c>
      <c r="G53" s="5">
        <f t="shared" si="1"/>
        <v>28.335421960455321</v>
      </c>
      <c r="H53" s="6">
        <f t="shared" si="2"/>
        <v>27.333824395992931</v>
      </c>
      <c r="I53" s="42">
        <v>20.867999999999999</v>
      </c>
      <c r="J53" s="41">
        <v>0.13253000000000001</v>
      </c>
      <c r="K53" s="41">
        <v>3.3939999999999998E-2</v>
      </c>
      <c r="L53" s="41">
        <f t="shared" si="3"/>
        <v>4.8485714285714287E-3</v>
      </c>
      <c r="M53" s="7">
        <v>3.5</v>
      </c>
      <c r="N53" s="7">
        <v>3.48</v>
      </c>
      <c r="O53" s="7">
        <v>5.45</v>
      </c>
    </row>
    <row r="54" spans="1:15" ht="14.25" customHeight="1" x14ac:dyDescent="0.3">
      <c r="A54" s="2">
        <v>53</v>
      </c>
      <c r="B54" s="2">
        <v>1</v>
      </c>
      <c r="C54" s="3">
        <v>46101</v>
      </c>
      <c r="D54" s="3">
        <v>46479</v>
      </c>
      <c r="E54" s="4">
        <f t="shared" si="4"/>
        <v>378</v>
      </c>
      <c r="F54" s="52" cm="1">
        <f t="array" ref="F54">SUM(I54*(_xlfn.SEQUENCE(E54)^J54)*EXP(-L54*_xlfn.SEQUENCE(E54)))</f>
        <v>7716.101307301521</v>
      </c>
      <c r="G54" s="5">
        <f t="shared" si="1"/>
        <v>33.145144206361714</v>
      </c>
      <c r="H54" s="6">
        <f t="shared" si="2"/>
        <v>26.819452706722192</v>
      </c>
      <c r="I54" s="42">
        <v>24.681000000000001</v>
      </c>
      <c r="J54" s="41">
        <v>0.12881000000000001</v>
      </c>
      <c r="K54" s="41">
        <v>3.3619999999999997E-2</v>
      </c>
      <c r="L54" s="41">
        <f t="shared" si="3"/>
        <v>4.8028571428571426E-3</v>
      </c>
      <c r="M54" s="7">
        <v>4.54</v>
      </c>
      <c r="N54" s="7">
        <v>3.7</v>
      </c>
      <c r="O54" s="7">
        <v>5.45</v>
      </c>
    </row>
    <row r="55" spans="1:15" ht="14.25" customHeight="1" x14ac:dyDescent="0.3">
      <c r="A55" s="2">
        <v>54</v>
      </c>
      <c r="B55" s="2">
        <v>1</v>
      </c>
      <c r="C55" s="3">
        <v>45952</v>
      </c>
      <c r="D55" s="3">
        <v>46290</v>
      </c>
      <c r="E55" s="4">
        <f t="shared" si="4"/>
        <v>338</v>
      </c>
      <c r="F55" s="52" cm="1">
        <f t="array" ref="F55">SUM(I55*(_xlfn.SEQUENCE(E55)^J55)*EXP(-L55*_xlfn.SEQUENCE(E55)))</f>
        <v>3900.7814950783372</v>
      </c>
      <c r="G55" s="5">
        <f t="shared" si="1"/>
        <v>17.678211225630463</v>
      </c>
      <c r="H55" s="6">
        <f t="shared" si="2"/>
        <v>26.270294380017841</v>
      </c>
      <c r="I55" s="42">
        <v>13.276999999999999</v>
      </c>
      <c r="J55" s="41">
        <v>0.12620999999999999</v>
      </c>
      <c r="K55" s="41">
        <v>3.363E-2</v>
      </c>
      <c r="L55" s="41">
        <f t="shared" si="3"/>
        <v>4.8042857142857141E-3</v>
      </c>
      <c r="M55" s="7">
        <v>4.1100000000000003</v>
      </c>
      <c r="N55" s="7">
        <v>3.55</v>
      </c>
      <c r="O55" s="7">
        <v>5.45</v>
      </c>
    </row>
    <row r="56" spans="1:15" ht="14.25" customHeight="1" x14ac:dyDescent="0.3">
      <c r="A56" s="2">
        <v>55</v>
      </c>
      <c r="B56" s="2">
        <v>1</v>
      </c>
      <c r="C56" s="3">
        <v>45949</v>
      </c>
      <c r="D56" s="3">
        <v>46270</v>
      </c>
      <c r="E56" s="4">
        <f t="shared" si="4"/>
        <v>321</v>
      </c>
      <c r="F56" s="52" cm="1">
        <f t="array" ref="F56">SUM(I56*(_xlfn.SEQUENCE(E56)^J56)*EXP(-L56*_xlfn.SEQUENCE(E56)))</f>
        <v>5111.8516053254489</v>
      </c>
      <c r="G56" s="5">
        <f t="shared" si="1"/>
        <v>23.521181771343208</v>
      </c>
      <c r="H56" s="6">
        <f t="shared" si="2"/>
        <v>26.840048470160554</v>
      </c>
      <c r="I56" s="42">
        <v>17.603000000000002</v>
      </c>
      <c r="J56" s="41">
        <v>0.12656999999999999</v>
      </c>
      <c r="K56" s="41">
        <v>3.3009999999999998E-2</v>
      </c>
      <c r="L56" s="41">
        <f t="shared" si="3"/>
        <v>4.7157142857142858E-3</v>
      </c>
      <c r="M56" s="7">
        <v>4.99</v>
      </c>
      <c r="N56" s="7">
        <v>3.15</v>
      </c>
      <c r="O56" s="7">
        <v>5.45</v>
      </c>
    </row>
    <row r="57" spans="1:15" ht="14.25" customHeight="1" x14ac:dyDescent="0.3">
      <c r="A57" s="2">
        <v>56</v>
      </c>
      <c r="B57" s="2">
        <v>1</v>
      </c>
      <c r="C57" s="3">
        <v>45903</v>
      </c>
      <c r="D57" s="3">
        <v>46215</v>
      </c>
      <c r="E57" s="4">
        <f t="shared" si="4"/>
        <v>312</v>
      </c>
      <c r="F57" s="52" cm="1">
        <f t="array" ref="F57">SUM(I57*(_xlfn.SEQUENCE(E57)^J57)*EXP(-L57*_xlfn.SEQUENCE(E57)))</f>
        <v>6672.5907074061006</v>
      </c>
      <c r="G57" s="5">
        <f t="shared" si="1"/>
        <v>31.578885089920011</v>
      </c>
      <c r="H57" s="6">
        <f t="shared" si="2"/>
        <v>25.340501792114694</v>
      </c>
      <c r="I57" s="42">
        <v>24.093</v>
      </c>
      <c r="J57" s="41">
        <v>0.1212</v>
      </c>
      <c r="K57" s="41">
        <v>3.3480000000000003E-2</v>
      </c>
      <c r="L57" s="41">
        <f t="shared" si="3"/>
        <v>4.7828571428571434E-3</v>
      </c>
      <c r="M57" s="7">
        <v>5.04</v>
      </c>
      <c r="N57" s="7">
        <v>3.18</v>
      </c>
      <c r="O57" s="7">
        <v>5.45</v>
      </c>
    </row>
    <row r="58" spans="1:15" ht="14.25" customHeight="1" x14ac:dyDescent="0.3">
      <c r="A58" s="2">
        <v>57</v>
      </c>
      <c r="B58" s="2">
        <v>1</v>
      </c>
      <c r="C58" s="3">
        <v>46045</v>
      </c>
      <c r="D58" s="3">
        <v>46402</v>
      </c>
      <c r="E58" s="4">
        <f t="shared" si="4"/>
        <v>357</v>
      </c>
      <c r="F58" s="52" cm="1">
        <f t="array" ref="F58">SUM(I58*(_xlfn.SEQUENCE(E58)^J58)*EXP(-L58*_xlfn.SEQUENCE(E58)))</f>
        <v>6500.0898402413741</v>
      </c>
      <c r="G58" s="5">
        <f t="shared" si="1"/>
        <v>28.672487046671126</v>
      </c>
      <c r="H58" s="6">
        <f t="shared" si="2"/>
        <v>26.69970326409495</v>
      </c>
      <c r="I58" s="42">
        <v>21.376000000000001</v>
      </c>
      <c r="J58" s="41">
        <v>0.12853999999999999</v>
      </c>
      <c r="K58" s="41">
        <v>3.3700000000000001E-2</v>
      </c>
      <c r="L58" s="41">
        <f t="shared" si="3"/>
        <v>4.8142857142857145E-3</v>
      </c>
      <c r="M58" s="7">
        <v>4.5999999999999996</v>
      </c>
      <c r="N58" s="7">
        <v>4.05</v>
      </c>
      <c r="O58" s="7">
        <v>5.45</v>
      </c>
    </row>
    <row r="59" spans="1:15" ht="14.25" customHeight="1" x14ac:dyDescent="0.3">
      <c r="A59" s="2">
        <v>58</v>
      </c>
      <c r="B59" s="2">
        <v>1</v>
      </c>
      <c r="C59" s="3">
        <v>45990</v>
      </c>
      <c r="D59" s="3">
        <v>46265</v>
      </c>
      <c r="E59" s="4">
        <f t="shared" si="4"/>
        <v>275</v>
      </c>
      <c r="F59" s="52" cm="1">
        <f t="array" ref="F59">SUM(I59*(_xlfn.SEQUENCE(E59)^J59)*EXP(-L59*_xlfn.SEQUENCE(E59)))</f>
        <v>3066.5937240866947</v>
      </c>
      <c r="G59" s="5">
        <f t="shared" si="1"/>
        <v>15.628664839632906</v>
      </c>
      <c r="H59" s="6">
        <f t="shared" si="2"/>
        <v>26.272596843615496</v>
      </c>
      <c r="I59" s="42">
        <v>11.616</v>
      </c>
      <c r="J59" s="41">
        <v>0.1308</v>
      </c>
      <c r="K59" s="41">
        <v>3.4849999999999999E-2</v>
      </c>
      <c r="L59" s="41">
        <f t="shared" si="3"/>
        <v>4.9785714285714286E-3</v>
      </c>
      <c r="M59" s="7">
        <v>3.77</v>
      </c>
      <c r="N59" s="7">
        <v>3.31</v>
      </c>
      <c r="O59" s="7">
        <v>5.45</v>
      </c>
    </row>
    <row r="60" spans="1:15" ht="14.25" customHeight="1" x14ac:dyDescent="0.3">
      <c r="A60" s="2">
        <v>59</v>
      </c>
      <c r="B60" s="2">
        <v>1</v>
      </c>
      <c r="C60" s="3">
        <v>46114</v>
      </c>
      <c r="D60" s="3">
        <v>46399</v>
      </c>
      <c r="E60" s="4">
        <f t="shared" si="4"/>
        <v>285</v>
      </c>
      <c r="F60" s="52" cm="1">
        <f t="array" ref="F60">SUM(I60*(_xlfn.SEQUENCE(E60)^J60)*EXP(-L60*_xlfn.SEQUENCE(E60)))</f>
        <v>8127.1746597189131</v>
      </c>
      <c r="G60" s="5">
        <f t="shared" si="1"/>
        <v>39.395225245814672</v>
      </c>
      <c r="H60" s="6">
        <f t="shared" si="2"/>
        <v>28.775652701882212</v>
      </c>
      <c r="I60" s="42">
        <v>28.620999999999999</v>
      </c>
      <c r="J60" s="41">
        <v>0.13541</v>
      </c>
      <c r="K60" s="41">
        <v>3.2939999999999997E-2</v>
      </c>
      <c r="L60" s="41">
        <f t="shared" si="3"/>
        <v>4.7057142857142853E-3</v>
      </c>
      <c r="M60" s="7">
        <v>4.05</v>
      </c>
      <c r="N60" s="7">
        <v>3.37</v>
      </c>
      <c r="O60" s="7">
        <v>5.45</v>
      </c>
    </row>
    <row r="61" spans="1:15" ht="14.25" customHeight="1" x14ac:dyDescent="0.3">
      <c r="A61" s="2">
        <v>60</v>
      </c>
      <c r="B61" s="2">
        <v>1</v>
      </c>
      <c r="C61" s="3">
        <v>46128</v>
      </c>
      <c r="D61" s="3">
        <v>46469</v>
      </c>
      <c r="E61" s="4">
        <f t="shared" si="4"/>
        <v>341</v>
      </c>
      <c r="F61" s="52" cm="1">
        <f t="array" ref="F61">SUM(I61*(_xlfn.SEQUENCE(E61)^J61)*EXP(-L61*_xlfn.SEQUENCE(E61)))</f>
        <v>7504.5519548415014</v>
      </c>
      <c r="G61" s="5">
        <f t="shared" si="1"/>
        <v>33.779592920494103</v>
      </c>
      <c r="H61" s="6">
        <f t="shared" si="2"/>
        <v>27.74225599064874</v>
      </c>
      <c r="I61" s="42">
        <v>24.651</v>
      </c>
      <c r="J61" s="41">
        <v>0.13561999999999999</v>
      </c>
      <c r="K61" s="41">
        <v>3.422E-2</v>
      </c>
      <c r="L61" s="41">
        <f t="shared" si="3"/>
        <v>4.8885714285714288E-3</v>
      </c>
      <c r="M61" s="7">
        <v>4.5599999999999996</v>
      </c>
      <c r="N61" s="7">
        <v>3.45</v>
      </c>
      <c r="O61" s="7">
        <v>5.45</v>
      </c>
    </row>
    <row r="62" spans="1:15" ht="14.25" customHeight="1" x14ac:dyDescent="0.3">
      <c r="A62" s="2">
        <v>61</v>
      </c>
      <c r="B62" s="2">
        <v>1</v>
      </c>
      <c r="C62" s="3">
        <v>46110</v>
      </c>
      <c r="D62" s="3">
        <v>46383</v>
      </c>
      <c r="E62" s="4">
        <f t="shared" si="4"/>
        <v>273</v>
      </c>
      <c r="F62" s="52" cm="1">
        <f t="array" ref="F62">SUM(I62*(_xlfn.SEQUENCE(E62)^J62)*EXP(-L62*_xlfn.SEQUENCE(E62)))</f>
        <v>6071.1313238504017</v>
      </c>
      <c r="G62" s="5">
        <f t="shared" si="1"/>
        <v>30.613971376281256</v>
      </c>
      <c r="H62" s="6">
        <f t="shared" si="2"/>
        <v>27.467256637168141</v>
      </c>
      <c r="I62" s="42">
        <v>22.506</v>
      </c>
      <c r="J62" s="41">
        <v>0.13302</v>
      </c>
      <c r="K62" s="41">
        <v>3.39E-2</v>
      </c>
      <c r="L62" s="41">
        <f t="shared" si="3"/>
        <v>4.8428571428571427E-3</v>
      </c>
      <c r="M62" s="7">
        <v>4.46</v>
      </c>
      <c r="N62" s="7">
        <v>4.0999999999999996</v>
      </c>
      <c r="O62" s="7">
        <v>5.45</v>
      </c>
    </row>
    <row r="63" spans="1:15" ht="14.25" customHeight="1" x14ac:dyDescent="0.3">
      <c r="A63" s="2">
        <v>62</v>
      </c>
      <c r="B63" s="2">
        <v>1</v>
      </c>
      <c r="C63" s="3">
        <v>46090</v>
      </c>
      <c r="D63" s="3">
        <v>46363</v>
      </c>
      <c r="E63" s="4">
        <f t="shared" si="4"/>
        <v>273</v>
      </c>
      <c r="F63" s="52" cm="1">
        <f t="array" ref="F63">SUM(I63*(_xlfn.SEQUENCE(E63)^J63)*EXP(-L63*_xlfn.SEQUENCE(E63)))</f>
        <v>4216.935419891759</v>
      </c>
      <c r="G63" s="5">
        <f t="shared" si="1"/>
        <v>21.163512815626696</v>
      </c>
      <c r="H63" s="6">
        <f t="shared" si="2"/>
        <v>28.089238067002665</v>
      </c>
      <c r="I63" s="42">
        <v>15.428000000000001</v>
      </c>
      <c r="J63" s="41">
        <v>0.13535</v>
      </c>
      <c r="K63" s="41">
        <v>3.3730000000000003E-2</v>
      </c>
      <c r="L63" s="41">
        <f t="shared" si="3"/>
        <v>4.818571428571429E-3</v>
      </c>
      <c r="M63" s="7">
        <v>5.04</v>
      </c>
      <c r="N63" s="7">
        <v>3.12</v>
      </c>
      <c r="O63" s="7">
        <v>5.45</v>
      </c>
    </row>
    <row r="64" spans="1:15" ht="14.25" customHeight="1" x14ac:dyDescent="0.3">
      <c r="A64" s="2">
        <v>63</v>
      </c>
      <c r="B64" s="2">
        <v>1</v>
      </c>
      <c r="C64" s="3">
        <v>46116</v>
      </c>
      <c r="D64" s="3">
        <v>46339</v>
      </c>
      <c r="E64" s="4">
        <f t="shared" si="4"/>
        <v>223</v>
      </c>
      <c r="F64" s="52" cm="1">
        <f t="array" ref="F64">SUM(I64*(_xlfn.SEQUENCE(E64)^J64)*EXP(-L64*_xlfn.SEQUENCE(E64)))</f>
        <v>5906.6160214767988</v>
      </c>
      <c r="G64" s="5">
        <f t="shared" si="1"/>
        <v>33.598133855668507</v>
      </c>
      <c r="H64" s="6">
        <f t="shared" si="2"/>
        <v>27.79430097951915</v>
      </c>
      <c r="I64" s="42">
        <v>24.617999999999999</v>
      </c>
      <c r="J64" s="41">
        <v>0.13377</v>
      </c>
      <c r="K64" s="41">
        <v>3.3689999999999998E-2</v>
      </c>
      <c r="L64" s="41">
        <f t="shared" si="3"/>
        <v>4.8128571428571422E-3</v>
      </c>
      <c r="M64" s="7">
        <v>4.28</v>
      </c>
      <c r="N64" s="7">
        <v>3.76</v>
      </c>
      <c r="O64" s="7">
        <v>5.45</v>
      </c>
    </row>
    <row r="65" spans="1:15" ht="14.25" customHeight="1" x14ac:dyDescent="0.3">
      <c r="A65" s="2">
        <v>64</v>
      </c>
      <c r="B65" s="2">
        <v>1</v>
      </c>
      <c r="C65" s="3">
        <v>45988</v>
      </c>
      <c r="D65" s="3">
        <v>46281</v>
      </c>
      <c r="E65" s="4">
        <f t="shared" si="4"/>
        <v>293</v>
      </c>
      <c r="F65" s="52" cm="1">
        <f t="array" ref="F65">SUM(I65*(_xlfn.SEQUENCE(E65)^J65)*EXP(-L65*_xlfn.SEQUENCE(E65)))</f>
        <v>4628.0887442329185</v>
      </c>
      <c r="G65" s="5">
        <f t="shared" si="1"/>
        <v>22.414932495959174</v>
      </c>
      <c r="H65" s="6">
        <f t="shared" si="2"/>
        <v>26.698407930309401</v>
      </c>
      <c r="I65" s="42">
        <v>16.771000000000001</v>
      </c>
      <c r="J65" s="41">
        <v>0.12697</v>
      </c>
      <c r="K65" s="41">
        <v>3.329E-2</v>
      </c>
      <c r="L65" s="41">
        <f t="shared" si="3"/>
        <v>4.7557142857142859E-3</v>
      </c>
      <c r="M65" s="7">
        <v>4.12</v>
      </c>
      <c r="N65" s="7">
        <v>3.22</v>
      </c>
      <c r="O65" s="7">
        <v>5.45</v>
      </c>
    </row>
    <row r="66" spans="1:15" ht="14.25" customHeight="1" x14ac:dyDescent="0.3">
      <c r="A66" s="2">
        <v>65</v>
      </c>
      <c r="B66" s="2">
        <v>1</v>
      </c>
      <c r="C66" s="3">
        <v>45970</v>
      </c>
      <c r="D66" s="3">
        <v>46328</v>
      </c>
      <c r="E66" s="4">
        <f t="shared" ref="E66:E69" si="5">IFERROR(IF(OR(C66="",D66=""),"",D66-C66),"")</f>
        <v>358</v>
      </c>
      <c r="F66" s="52" cm="1">
        <f t="array" ref="F66">SUM(I66*(_xlfn.SEQUENCE(E66)^J66)*EXP(-L66*_xlfn.SEQUENCE(E66)))</f>
        <v>6495.7249103551949</v>
      </c>
      <c r="G66" s="5">
        <f t="shared" si="1"/>
        <v>28.450790947981034</v>
      </c>
      <c r="H66" s="6">
        <f t="shared" si="2"/>
        <v>27.655295164639575</v>
      </c>
      <c r="I66" s="42">
        <v>20.888999999999999</v>
      </c>
      <c r="J66" s="41">
        <v>0.13317999999999999</v>
      </c>
      <c r="K66" s="41">
        <v>3.3709999999999997E-2</v>
      </c>
      <c r="L66" s="41">
        <f t="shared" si="3"/>
        <v>4.8157142857142851E-3</v>
      </c>
      <c r="M66" s="7">
        <v>2.99</v>
      </c>
      <c r="N66" s="7">
        <v>3.07</v>
      </c>
      <c r="O66" s="7">
        <v>5.45</v>
      </c>
    </row>
    <row r="67" spans="1:15" ht="14.25" customHeight="1" x14ac:dyDescent="0.3">
      <c r="A67" s="2">
        <v>66</v>
      </c>
      <c r="B67" s="2">
        <v>1</v>
      </c>
      <c r="C67" s="3">
        <v>45989</v>
      </c>
      <c r="D67" s="3">
        <v>46286</v>
      </c>
      <c r="E67" s="4">
        <f t="shared" si="5"/>
        <v>297</v>
      </c>
      <c r="F67" s="52" cm="1">
        <f t="array" ref="F67">SUM(I67*(_xlfn.SEQUENCE(E67)^J67)*EXP(-L67*_xlfn.SEQUENCE(E67)))</f>
        <v>4487.1082640903642</v>
      </c>
      <c r="G67" s="5">
        <f t="shared" ref="G67:G69" si="6">I67*((J67/L67)^J67)*EXP(-J67)</f>
        <v>21.77401508254151</v>
      </c>
      <c r="H67" s="6">
        <f t="shared" ref="H67:H69" si="7">J67/L67</f>
        <v>27.110049232551404</v>
      </c>
      <c r="I67" s="42">
        <v>16.009</v>
      </c>
      <c r="J67" s="41">
        <v>0.13372999999999999</v>
      </c>
      <c r="K67" s="41">
        <v>3.4529999999999998E-2</v>
      </c>
      <c r="L67" s="41">
        <f t="shared" ref="L67:L69" si="8">K67/7</f>
        <v>4.9328571428571425E-3</v>
      </c>
      <c r="M67" s="7">
        <v>4.84</v>
      </c>
      <c r="N67" s="7">
        <v>3.57</v>
      </c>
      <c r="O67" s="7">
        <v>5.45</v>
      </c>
    </row>
    <row r="68" spans="1:15" ht="14.25" customHeight="1" x14ac:dyDescent="0.3">
      <c r="A68" s="2">
        <v>67</v>
      </c>
      <c r="B68" s="2">
        <v>1</v>
      </c>
      <c r="C68" s="3">
        <v>46137</v>
      </c>
      <c r="D68" s="3">
        <v>46451</v>
      </c>
      <c r="E68" s="4">
        <f t="shared" si="5"/>
        <v>314</v>
      </c>
      <c r="F68" s="52" cm="1">
        <f t="array" ref="F68">SUM(I68*(_xlfn.SEQUENCE(E68)^J68)*EXP(-L68*_xlfn.SEQUENCE(E68)))</f>
        <v>5330.9072977845608</v>
      </c>
      <c r="G68" s="5">
        <f t="shared" si="6"/>
        <v>24.918570694895429</v>
      </c>
      <c r="H68" s="6">
        <f t="shared" si="7"/>
        <v>27.717775161859915</v>
      </c>
      <c r="I68" s="42">
        <v>18.231999999999999</v>
      </c>
      <c r="J68" s="41">
        <v>0.13455</v>
      </c>
      <c r="K68" s="41">
        <v>3.3980000000000003E-2</v>
      </c>
      <c r="L68" s="41">
        <f t="shared" si="8"/>
        <v>4.8542857142857146E-3</v>
      </c>
      <c r="M68" s="7">
        <v>4.1399999999999997</v>
      </c>
      <c r="N68" s="7">
        <v>3.31</v>
      </c>
      <c r="O68" s="7">
        <v>5.45</v>
      </c>
    </row>
    <row r="69" spans="1:15" ht="14.25" customHeight="1" x14ac:dyDescent="0.3">
      <c r="A69" s="2">
        <v>68</v>
      </c>
      <c r="B69" s="2">
        <v>1</v>
      </c>
      <c r="C69" s="3">
        <v>45992</v>
      </c>
      <c r="D69" s="3">
        <v>46240</v>
      </c>
      <c r="E69" s="4">
        <f t="shared" si="5"/>
        <v>248</v>
      </c>
      <c r="F69" s="52" cm="1">
        <f t="array" ref="F69">SUM(I69*(_xlfn.SEQUENCE(E69)^J69)*EXP(-L69*_xlfn.SEQUENCE(E69)))</f>
        <v>5424.0612207321092</v>
      </c>
      <c r="G69" s="5">
        <f t="shared" si="6"/>
        <v>28.991224229280313</v>
      </c>
      <c r="H69" s="6">
        <f t="shared" si="7"/>
        <v>28.012170385395539</v>
      </c>
      <c r="I69" s="42">
        <v>21.007000000000001</v>
      </c>
      <c r="J69" s="41">
        <v>0.1381</v>
      </c>
      <c r="K69" s="41">
        <v>3.4509999999999999E-2</v>
      </c>
      <c r="L69" s="41">
        <f t="shared" si="8"/>
        <v>4.9299999999999995E-3</v>
      </c>
      <c r="M69" s="7">
        <v>3.81</v>
      </c>
      <c r="N69" s="7">
        <v>3.55</v>
      </c>
      <c r="O69" s="7">
        <v>5.45</v>
      </c>
    </row>
  </sheetData>
  <autoFilter ref="A1:P69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1"/>
  <sheetViews>
    <sheetView zoomScaleNormal="100" workbookViewId="0">
      <pane ySplit="1" topLeftCell="A2" activePane="bottomLeft" state="frozen"/>
      <selection pane="bottomLeft" activeCell="J71" sqref="J71"/>
    </sheetView>
  </sheetViews>
  <sheetFormatPr baseColWidth="10" defaultColWidth="14.44140625" defaultRowHeight="14.25" customHeight="1" x14ac:dyDescent="0.3"/>
  <sheetData>
    <row r="1" spans="1:15" ht="42.75" customHeight="1" x14ac:dyDescent="0.3">
      <c r="A1" s="1" t="s">
        <v>0</v>
      </c>
      <c r="B1" s="1" t="s">
        <v>104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117</v>
      </c>
      <c r="O1" s="8"/>
    </row>
    <row r="2" spans="1:15" ht="14.25" customHeight="1" x14ac:dyDescent="0.3">
      <c r="A2" s="2">
        <v>1</v>
      </c>
      <c r="B2" s="2">
        <v>1</v>
      </c>
      <c r="C2" s="3">
        <v>46041</v>
      </c>
      <c r="D2" s="3">
        <v>46219</v>
      </c>
      <c r="E2" s="3">
        <v>46219</v>
      </c>
      <c r="F2" s="3">
        <v>46498</v>
      </c>
      <c r="G2" s="6">
        <f t="shared" ref="G2:G33" si="0">IFERROR(IF(OR(C2="",E2=""),"",E2-C2),"")</f>
        <v>178</v>
      </c>
      <c r="H2" s="6">
        <f t="shared" ref="H2:H33" si="1">IFERROR(IF(OR(D2="",E2=""),"",E2-D2),"")</f>
        <v>0</v>
      </c>
      <c r="I2" s="6">
        <f t="shared" ref="I2:I33" si="2">IFERROR(IF(OR(E2="",F2=""),"",F2-E2),"")</f>
        <v>279</v>
      </c>
      <c r="J2" s="6">
        <f t="shared" ref="J2:J33" si="3">IFERROR(IF(OR(C2="",F2=""),"",F2-C2),"")</f>
        <v>457</v>
      </c>
      <c r="K2" s="2" t="s">
        <v>129</v>
      </c>
      <c r="L2" s="2" t="s">
        <v>130</v>
      </c>
      <c r="M2" s="2" t="s">
        <v>131</v>
      </c>
    </row>
    <row r="3" spans="1:15" ht="14.25" customHeight="1" x14ac:dyDescent="0.3">
      <c r="A3" s="2">
        <v>2</v>
      </c>
      <c r="B3" s="2">
        <v>1</v>
      </c>
      <c r="C3" s="3">
        <v>46087</v>
      </c>
      <c r="D3" s="3">
        <v>46177</v>
      </c>
      <c r="E3" s="3">
        <v>46219</v>
      </c>
      <c r="F3" s="3">
        <v>46499</v>
      </c>
      <c r="G3" s="6">
        <f t="shared" si="0"/>
        <v>132</v>
      </c>
      <c r="H3" s="6">
        <f t="shared" si="1"/>
        <v>42</v>
      </c>
      <c r="I3" s="6">
        <f t="shared" si="2"/>
        <v>280</v>
      </c>
      <c r="J3" s="6">
        <f t="shared" si="3"/>
        <v>412</v>
      </c>
      <c r="K3" s="2" t="s">
        <v>132</v>
      </c>
      <c r="L3" s="2" t="s">
        <v>130</v>
      </c>
      <c r="M3" s="2" t="s">
        <v>131</v>
      </c>
    </row>
    <row r="4" spans="1:15" ht="14.25" customHeight="1" x14ac:dyDescent="0.3">
      <c r="A4" s="2">
        <v>3</v>
      </c>
      <c r="B4" s="2">
        <v>1</v>
      </c>
      <c r="C4" s="3">
        <v>46008</v>
      </c>
      <c r="D4" s="3">
        <v>46154</v>
      </c>
      <c r="E4" s="3">
        <v>46154</v>
      </c>
      <c r="F4" s="3">
        <v>46440</v>
      </c>
      <c r="G4" s="6">
        <f t="shared" si="0"/>
        <v>146</v>
      </c>
      <c r="H4" s="6">
        <f t="shared" si="1"/>
        <v>0</v>
      </c>
      <c r="I4" s="6">
        <f t="shared" si="2"/>
        <v>286</v>
      </c>
      <c r="J4" s="6">
        <f t="shared" si="3"/>
        <v>432</v>
      </c>
      <c r="K4" s="2" t="s">
        <v>129</v>
      </c>
      <c r="L4" s="2" t="s">
        <v>133</v>
      </c>
      <c r="M4" s="2" t="s">
        <v>131</v>
      </c>
    </row>
    <row r="5" spans="1:15" ht="14.25" customHeight="1" x14ac:dyDescent="0.3">
      <c r="A5" s="2">
        <v>4</v>
      </c>
      <c r="B5" s="2">
        <v>1</v>
      </c>
      <c r="C5" s="3">
        <v>46095</v>
      </c>
      <c r="D5" s="3">
        <v>46168</v>
      </c>
      <c r="E5" s="3">
        <v>46231</v>
      </c>
      <c r="F5" s="3">
        <v>46517</v>
      </c>
      <c r="G5" s="6">
        <f t="shared" si="0"/>
        <v>136</v>
      </c>
      <c r="H5" s="6">
        <f t="shared" si="1"/>
        <v>63</v>
      </c>
      <c r="I5" s="6">
        <f t="shared" si="2"/>
        <v>286</v>
      </c>
      <c r="J5" s="6">
        <f t="shared" si="3"/>
        <v>422</v>
      </c>
      <c r="K5" s="2" t="s">
        <v>134</v>
      </c>
      <c r="L5" s="2" t="s">
        <v>133</v>
      </c>
      <c r="M5" s="2" t="s">
        <v>131</v>
      </c>
    </row>
    <row r="6" spans="1:15" ht="14.25" customHeight="1" x14ac:dyDescent="0.3">
      <c r="A6" s="2">
        <v>5</v>
      </c>
      <c r="B6" s="2">
        <v>1</v>
      </c>
      <c r="C6" s="3">
        <v>45954</v>
      </c>
      <c r="D6" s="3">
        <v>46029</v>
      </c>
      <c r="E6" s="3">
        <v>46071</v>
      </c>
      <c r="F6" s="3">
        <v>46351</v>
      </c>
      <c r="G6" s="6">
        <f t="shared" si="0"/>
        <v>117</v>
      </c>
      <c r="H6" s="6">
        <f t="shared" si="1"/>
        <v>42</v>
      </c>
      <c r="I6" s="6">
        <f t="shared" si="2"/>
        <v>280</v>
      </c>
      <c r="J6" s="6">
        <f t="shared" si="3"/>
        <v>397</v>
      </c>
      <c r="K6" s="2" t="s">
        <v>132</v>
      </c>
      <c r="L6" s="2" t="s">
        <v>133</v>
      </c>
      <c r="M6" s="2" t="s">
        <v>131</v>
      </c>
    </row>
    <row r="7" spans="1:15" ht="14.25" customHeight="1" x14ac:dyDescent="0.3">
      <c r="A7" s="2">
        <v>6</v>
      </c>
      <c r="B7" s="2">
        <v>1</v>
      </c>
      <c r="C7" s="3">
        <v>45976</v>
      </c>
      <c r="D7" s="3">
        <v>46085</v>
      </c>
      <c r="E7" s="3">
        <v>46106</v>
      </c>
      <c r="F7" s="3">
        <v>46386</v>
      </c>
      <c r="G7" s="6">
        <f t="shared" si="0"/>
        <v>130</v>
      </c>
      <c r="H7" s="6">
        <f t="shared" si="1"/>
        <v>21</v>
      </c>
      <c r="I7" s="6">
        <f t="shared" si="2"/>
        <v>280</v>
      </c>
      <c r="J7" s="6">
        <f t="shared" si="3"/>
        <v>410</v>
      </c>
      <c r="K7" s="2" t="s">
        <v>135</v>
      </c>
      <c r="L7" s="2" t="s">
        <v>130</v>
      </c>
      <c r="M7" s="2" t="s">
        <v>131</v>
      </c>
    </row>
    <row r="8" spans="1:15" ht="14.25" customHeight="1" x14ac:dyDescent="0.3">
      <c r="A8" s="2">
        <v>7</v>
      </c>
      <c r="B8" s="2">
        <v>1</v>
      </c>
      <c r="C8" s="3">
        <v>45952</v>
      </c>
      <c r="D8" s="3">
        <v>46105</v>
      </c>
      <c r="E8" s="3">
        <v>46126</v>
      </c>
      <c r="F8" s="3">
        <v>46407</v>
      </c>
      <c r="G8" s="6">
        <f t="shared" si="0"/>
        <v>174</v>
      </c>
      <c r="H8" s="6">
        <f t="shared" si="1"/>
        <v>21</v>
      </c>
      <c r="I8" s="6">
        <f t="shared" si="2"/>
        <v>281</v>
      </c>
      <c r="J8" s="6">
        <f t="shared" si="3"/>
        <v>455</v>
      </c>
      <c r="K8" s="2" t="s">
        <v>135</v>
      </c>
      <c r="L8" s="2" t="s">
        <v>133</v>
      </c>
      <c r="M8" s="2" t="s">
        <v>131</v>
      </c>
    </row>
    <row r="9" spans="1:15" ht="14.25" customHeight="1" x14ac:dyDescent="0.3">
      <c r="A9" s="2">
        <v>8</v>
      </c>
      <c r="B9" s="2">
        <v>1</v>
      </c>
      <c r="C9" s="3">
        <v>46123</v>
      </c>
      <c r="D9" s="3">
        <v>46232</v>
      </c>
      <c r="E9" s="3">
        <v>46253</v>
      </c>
      <c r="F9" s="3">
        <v>46532</v>
      </c>
      <c r="G9" s="6">
        <f t="shared" si="0"/>
        <v>130</v>
      </c>
      <c r="H9" s="6">
        <f t="shared" si="1"/>
        <v>21</v>
      </c>
      <c r="I9" s="6">
        <f t="shared" si="2"/>
        <v>279</v>
      </c>
      <c r="J9" s="6">
        <f t="shared" si="3"/>
        <v>409</v>
      </c>
      <c r="K9" s="2" t="s">
        <v>135</v>
      </c>
      <c r="L9" s="2" t="s">
        <v>133</v>
      </c>
      <c r="M9" s="2" t="s">
        <v>131</v>
      </c>
    </row>
    <row r="10" spans="1:15" ht="14.25" customHeight="1" x14ac:dyDescent="0.3">
      <c r="A10" s="2">
        <v>9</v>
      </c>
      <c r="B10" s="2">
        <v>1</v>
      </c>
      <c r="C10" s="3">
        <v>45909</v>
      </c>
      <c r="D10" s="3">
        <v>46079</v>
      </c>
      <c r="E10" s="3">
        <v>46079</v>
      </c>
      <c r="F10" s="3">
        <v>46360</v>
      </c>
      <c r="G10" s="6">
        <f t="shared" si="0"/>
        <v>170</v>
      </c>
      <c r="H10" s="6">
        <f t="shared" si="1"/>
        <v>0</v>
      </c>
      <c r="I10" s="6">
        <f t="shared" si="2"/>
        <v>281</v>
      </c>
      <c r="J10" s="6">
        <f t="shared" si="3"/>
        <v>451</v>
      </c>
      <c r="K10" s="2" t="s">
        <v>129</v>
      </c>
      <c r="L10" s="2" t="s">
        <v>133</v>
      </c>
      <c r="M10" s="2" t="s">
        <v>131</v>
      </c>
    </row>
    <row r="11" spans="1:15" ht="14.25" customHeight="1" x14ac:dyDescent="0.3">
      <c r="A11" s="2">
        <v>10</v>
      </c>
      <c r="B11" s="2">
        <v>1</v>
      </c>
      <c r="C11" s="3">
        <v>45978</v>
      </c>
      <c r="D11" s="3">
        <v>46057</v>
      </c>
      <c r="E11" s="3">
        <v>46099</v>
      </c>
      <c r="F11" s="3">
        <v>46382</v>
      </c>
      <c r="G11" s="6">
        <f t="shared" si="0"/>
        <v>121</v>
      </c>
      <c r="H11" s="6">
        <f t="shared" si="1"/>
        <v>42</v>
      </c>
      <c r="I11" s="6">
        <f t="shared" si="2"/>
        <v>283</v>
      </c>
      <c r="J11" s="6">
        <f t="shared" si="3"/>
        <v>404</v>
      </c>
      <c r="K11" s="2" t="s">
        <v>132</v>
      </c>
      <c r="L11" s="2" t="s">
        <v>133</v>
      </c>
      <c r="M11" s="2" t="s">
        <v>131</v>
      </c>
    </row>
    <row r="12" spans="1:15" ht="14.25" customHeight="1" x14ac:dyDescent="0.3">
      <c r="A12" s="2">
        <v>11</v>
      </c>
      <c r="B12" s="2">
        <v>1</v>
      </c>
      <c r="C12" s="3">
        <v>46006</v>
      </c>
      <c r="D12" s="3">
        <v>46130</v>
      </c>
      <c r="E12" s="3">
        <v>46130</v>
      </c>
      <c r="F12" s="3">
        <v>46413</v>
      </c>
      <c r="G12" s="6">
        <f t="shared" si="0"/>
        <v>124</v>
      </c>
      <c r="H12" s="6">
        <f t="shared" si="1"/>
        <v>0</v>
      </c>
      <c r="I12" s="6">
        <f t="shared" si="2"/>
        <v>283</v>
      </c>
      <c r="J12" s="6">
        <f t="shared" si="3"/>
        <v>407</v>
      </c>
      <c r="K12" s="2" t="s">
        <v>129</v>
      </c>
      <c r="L12" s="2" t="s">
        <v>130</v>
      </c>
      <c r="M12" s="2" t="s">
        <v>131</v>
      </c>
    </row>
    <row r="13" spans="1:15" ht="14.25" customHeight="1" x14ac:dyDescent="0.3">
      <c r="A13" s="2">
        <v>12</v>
      </c>
      <c r="B13" s="2">
        <v>1</v>
      </c>
      <c r="C13" s="3">
        <v>46024</v>
      </c>
      <c r="D13" s="3">
        <v>46156</v>
      </c>
      <c r="E13" s="3">
        <v>46156</v>
      </c>
      <c r="F13" s="3">
        <v>46434</v>
      </c>
      <c r="G13" s="6">
        <f t="shared" si="0"/>
        <v>132</v>
      </c>
      <c r="H13" s="6">
        <f t="shared" si="1"/>
        <v>0</v>
      </c>
      <c r="I13" s="6">
        <f t="shared" si="2"/>
        <v>278</v>
      </c>
      <c r="J13" s="6">
        <f t="shared" si="3"/>
        <v>410</v>
      </c>
      <c r="K13" s="2" t="s">
        <v>129</v>
      </c>
      <c r="L13" s="2" t="s">
        <v>133</v>
      </c>
      <c r="M13" s="2" t="s">
        <v>131</v>
      </c>
    </row>
    <row r="14" spans="1:15" ht="14.25" customHeight="1" x14ac:dyDescent="0.3">
      <c r="A14" s="2">
        <v>13</v>
      </c>
      <c r="B14" s="2">
        <v>1</v>
      </c>
      <c r="C14" s="3">
        <v>46046</v>
      </c>
      <c r="D14" s="3">
        <v>46166</v>
      </c>
      <c r="E14" s="3">
        <v>46187</v>
      </c>
      <c r="F14" s="3">
        <v>46465</v>
      </c>
      <c r="G14" s="6">
        <f t="shared" si="0"/>
        <v>141</v>
      </c>
      <c r="H14" s="6">
        <f t="shared" si="1"/>
        <v>21</v>
      </c>
      <c r="I14" s="6">
        <f t="shared" si="2"/>
        <v>278</v>
      </c>
      <c r="J14" s="6">
        <f t="shared" si="3"/>
        <v>419</v>
      </c>
      <c r="K14" s="2" t="s">
        <v>135</v>
      </c>
      <c r="L14" s="2" t="s">
        <v>130</v>
      </c>
      <c r="M14" s="2" t="s">
        <v>131</v>
      </c>
    </row>
    <row r="15" spans="1:15" ht="14.25" customHeight="1" x14ac:dyDescent="0.3">
      <c r="A15" s="2">
        <v>14</v>
      </c>
      <c r="B15" s="2">
        <v>1</v>
      </c>
      <c r="C15" s="3">
        <v>45951</v>
      </c>
      <c r="D15" s="3">
        <v>46092</v>
      </c>
      <c r="E15" s="3">
        <v>46113</v>
      </c>
      <c r="F15" s="3">
        <v>46392</v>
      </c>
      <c r="G15" s="6">
        <f t="shared" si="0"/>
        <v>162</v>
      </c>
      <c r="H15" s="6">
        <f t="shared" si="1"/>
        <v>21</v>
      </c>
      <c r="I15" s="6">
        <f t="shared" si="2"/>
        <v>279</v>
      </c>
      <c r="J15" s="6">
        <f t="shared" si="3"/>
        <v>441</v>
      </c>
      <c r="K15" s="2" t="s">
        <v>135</v>
      </c>
      <c r="L15" s="2" t="s">
        <v>133</v>
      </c>
      <c r="M15" s="2" t="s">
        <v>131</v>
      </c>
    </row>
    <row r="16" spans="1:15" ht="14.25" customHeight="1" x14ac:dyDescent="0.3">
      <c r="A16" s="2">
        <v>15</v>
      </c>
      <c r="B16" s="2">
        <v>1</v>
      </c>
      <c r="C16" s="3">
        <v>45940</v>
      </c>
      <c r="D16" s="3">
        <v>46070</v>
      </c>
      <c r="E16" s="3">
        <v>46070</v>
      </c>
      <c r="F16" s="3">
        <v>46351</v>
      </c>
      <c r="G16" s="6">
        <f t="shared" si="0"/>
        <v>130</v>
      </c>
      <c r="H16" s="6">
        <f t="shared" si="1"/>
        <v>0</v>
      </c>
      <c r="I16" s="6">
        <f t="shared" si="2"/>
        <v>281</v>
      </c>
      <c r="J16" s="6">
        <f t="shared" si="3"/>
        <v>411</v>
      </c>
      <c r="K16" s="2" t="s">
        <v>129</v>
      </c>
      <c r="L16" s="2" t="s">
        <v>130</v>
      </c>
      <c r="M16" s="2" t="s">
        <v>131</v>
      </c>
    </row>
    <row r="17" spans="1:13" ht="14.25" customHeight="1" x14ac:dyDescent="0.3">
      <c r="A17" s="2">
        <v>16</v>
      </c>
      <c r="B17" s="2">
        <v>1</v>
      </c>
      <c r="C17" s="3">
        <v>46050</v>
      </c>
      <c r="D17" s="3">
        <v>46139</v>
      </c>
      <c r="E17" s="3">
        <v>46181</v>
      </c>
      <c r="F17" s="3">
        <v>46463</v>
      </c>
      <c r="G17" s="6">
        <f t="shared" si="0"/>
        <v>131</v>
      </c>
      <c r="H17" s="6">
        <f t="shared" si="1"/>
        <v>42</v>
      </c>
      <c r="I17" s="6">
        <f t="shared" si="2"/>
        <v>282</v>
      </c>
      <c r="J17" s="6">
        <f t="shared" si="3"/>
        <v>413</v>
      </c>
      <c r="K17" s="2" t="s">
        <v>132</v>
      </c>
      <c r="L17" s="2" t="s">
        <v>133</v>
      </c>
      <c r="M17" s="2" t="s">
        <v>131</v>
      </c>
    </row>
    <row r="18" spans="1:13" ht="14.25" customHeight="1" x14ac:dyDescent="0.3">
      <c r="A18" s="2">
        <v>17</v>
      </c>
      <c r="B18" s="2">
        <v>1</v>
      </c>
      <c r="C18" s="3">
        <v>45997</v>
      </c>
      <c r="D18" s="3">
        <v>46129</v>
      </c>
      <c r="E18" s="3">
        <v>46129</v>
      </c>
      <c r="F18" s="3">
        <v>46405</v>
      </c>
      <c r="G18" s="6">
        <f t="shared" si="0"/>
        <v>132</v>
      </c>
      <c r="H18" s="6">
        <f t="shared" si="1"/>
        <v>0</v>
      </c>
      <c r="I18" s="6">
        <f t="shared" si="2"/>
        <v>276</v>
      </c>
      <c r="J18" s="6">
        <f t="shared" si="3"/>
        <v>408</v>
      </c>
      <c r="K18" s="2" t="s">
        <v>129</v>
      </c>
      <c r="L18" s="2" t="s">
        <v>133</v>
      </c>
      <c r="M18" s="2" t="s">
        <v>131</v>
      </c>
    </row>
    <row r="19" spans="1:13" ht="14.25" customHeight="1" x14ac:dyDescent="0.3">
      <c r="A19" s="2">
        <v>18</v>
      </c>
      <c r="B19" s="2">
        <v>1</v>
      </c>
      <c r="C19" s="3">
        <v>45958</v>
      </c>
      <c r="D19" s="3">
        <v>46100</v>
      </c>
      <c r="E19" s="3">
        <v>46100</v>
      </c>
      <c r="F19" s="3">
        <v>46378</v>
      </c>
      <c r="G19" s="6">
        <f t="shared" si="0"/>
        <v>142</v>
      </c>
      <c r="H19" s="6">
        <f t="shared" si="1"/>
        <v>0</v>
      </c>
      <c r="I19" s="6">
        <f t="shared" si="2"/>
        <v>278</v>
      </c>
      <c r="J19" s="6">
        <f t="shared" si="3"/>
        <v>420</v>
      </c>
      <c r="K19" s="2" t="s">
        <v>129</v>
      </c>
      <c r="L19" s="2" t="s">
        <v>133</v>
      </c>
      <c r="M19" s="2" t="s">
        <v>131</v>
      </c>
    </row>
    <row r="20" spans="1:13" ht="14.25" customHeight="1" x14ac:dyDescent="0.3">
      <c r="A20" s="2">
        <v>19</v>
      </c>
      <c r="B20" s="2">
        <v>1</v>
      </c>
      <c r="C20" s="3">
        <v>46134</v>
      </c>
      <c r="D20" s="3">
        <v>46216</v>
      </c>
      <c r="E20" s="3">
        <v>46258</v>
      </c>
      <c r="F20" s="3">
        <v>46539</v>
      </c>
      <c r="G20" s="6">
        <f t="shared" si="0"/>
        <v>124</v>
      </c>
      <c r="H20" s="6">
        <f t="shared" si="1"/>
        <v>42</v>
      </c>
      <c r="I20" s="6">
        <f t="shared" si="2"/>
        <v>281</v>
      </c>
      <c r="J20" s="6">
        <f t="shared" si="3"/>
        <v>405</v>
      </c>
      <c r="K20" s="2" t="s">
        <v>132</v>
      </c>
      <c r="L20" s="2" t="s">
        <v>133</v>
      </c>
      <c r="M20" s="2" t="s">
        <v>131</v>
      </c>
    </row>
    <row r="21" spans="1:13" ht="14.25" customHeight="1" x14ac:dyDescent="0.3">
      <c r="A21" s="2">
        <v>20</v>
      </c>
      <c r="B21" s="2">
        <v>1</v>
      </c>
      <c r="C21" s="3">
        <v>46085</v>
      </c>
      <c r="D21" s="3">
        <v>46155</v>
      </c>
      <c r="E21" s="3">
        <v>46197</v>
      </c>
      <c r="F21" s="3">
        <v>46476</v>
      </c>
      <c r="G21" s="6">
        <f t="shared" si="0"/>
        <v>112</v>
      </c>
      <c r="H21" s="6">
        <f t="shared" si="1"/>
        <v>42</v>
      </c>
      <c r="I21" s="6">
        <f t="shared" si="2"/>
        <v>279</v>
      </c>
      <c r="J21" s="6">
        <f t="shared" si="3"/>
        <v>391</v>
      </c>
      <c r="K21" s="2" t="s">
        <v>132</v>
      </c>
      <c r="L21" s="2" t="s">
        <v>133</v>
      </c>
      <c r="M21" s="2" t="s">
        <v>131</v>
      </c>
    </row>
    <row r="22" spans="1:13" ht="14.25" customHeight="1" x14ac:dyDescent="0.3">
      <c r="A22" s="2">
        <v>21</v>
      </c>
      <c r="B22" s="2">
        <v>1</v>
      </c>
      <c r="C22" s="3">
        <v>45935</v>
      </c>
      <c r="D22" s="3">
        <v>46019</v>
      </c>
      <c r="E22" s="3">
        <v>46061</v>
      </c>
      <c r="F22" s="3">
        <v>46344</v>
      </c>
      <c r="G22" s="6">
        <f t="shared" si="0"/>
        <v>126</v>
      </c>
      <c r="H22" s="6">
        <f t="shared" si="1"/>
        <v>42</v>
      </c>
      <c r="I22" s="6">
        <f t="shared" si="2"/>
        <v>283</v>
      </c>
      <c r="J22" s="6">
        <f t="shared" si="3"/>
        <v>409</v>
      </c>
      <c r="K22" s="2" t="s">
        <v>132</v>
      </c>
      <c r="L22" s="2" t="s">
        <v>130</v>
      </c>
      <c r="M22" s="2" t="s">
        <v>131</v>
      </c>
    </row>
    <row r="23" spans="1:13" ht="14.25" customHeight="1" x14ac:dyDescent="0.3">
      <c r="A23" s="2">
        <v>22</v>
      </c>
      <c r="B23" s="2">
        <v>1</v>
      </c>
      <c r="C23" s="3">
        <v>45989</v>
      </c>
      <c r="D23" s="3">
        <v>46051</v>
      </c>
      <c r="E23" s="3">
        <v>46114</v>
      </c>
      <c r="F23" s="3">
        <v>46392</v>
      </c>
      <c r="G23" s="6">
        <f t="shared" si="0"/>
        <v>125</v>
      </c>
      <c r="H23" s="6">
        <f t="shared" si="1"/>
        <v>63</v>
      </c>
      <c r="I23" s="6">
        <f t="shared" si="2"/>
        <v>278</v>
      </c>
      <c r="J23" s="6">
        <f t="shared" si="3"/>
        <v>403</v>
      </c>
      <c r="K23" s="2" t="s">
        <v>134</v>
      </c>
      <c r="L23" s="2" t="s">
        <v>130</v>
      </c>
      <c r="M23" s="2" t="s">
        <v>131</v>
      </c>
    </row>
    <row r="24" spans="1:13" ht="14.25" customHeight="1" x14ac:dyDescent="0.3">
      <c r="A24" s="2">
        <v>23</v>
      </c>
      <c r="B24" s="2">
        <v>1</v>
      </c>
      <c r="C24" s="3">
        <v>46056</v>
      </c>
      <c r="D24" s="3">
        <v>46162</v>
      </c>
      <c r="E24" s="3">
        <v>46162</v>
      </c>
      <c r="F24" s="3">
        <v>46442</v>
      </c>
      <c r="G24" s="6">
        <f t="shared" si="0"/>
        <v>106</v>
      </c>
      <c r="H24" s="6">
        <f t="shared" si="1"/>
        <v>0</v>
      </c>
      <c r="I24" s="6">
        <f t="shared" si="2"/>
        <v>280</v>
      </c>
      <c r="J24" s="6">
        <f t="shared" si="3"/>
        <v>386</v>
      </c>
      <c r="K24" s="2" t="s">
        <v>129</v>
      </c>
      <c r="L24" s="2" t="s">
        <v>130</v>
      </c>
      <c r="M24" s="2" t="s">
        <v>131</v>
      </c>
    </row>
    <row r="25" spans="1:13" ht="14.25" customHeight="1" x14ac:dyDescent="0.3">
      <c r="A25" s="2">
        <v>24</v>
      </c>
      <c r="B25" s="2">
        <v>1</v>
      </c>
      <c r="C25" s="3">
        <v>46004</v>
      </c>
      <c r="D25" s="3">
        <v>46112</v>
      </c>
      <c r="E25" s="3">
        <v>46133</v>
      </c>
      <c r="F25" s="3">
        <v>46411</v>
      </c>
      <c r="G25" s="6">
        <f t="shared" si="0"/>
        <v>129</v>
      </c>
      <c r="H25" s="6">
        <f t="shared" si="1"/>
        <v>21</v>
      </c>
      <c r="I25" s="6">
        <f t="shared" si="2"/>
        <v>278</v>
      </c>
      <c r="J25" s="6">
        <f t="shared" si="3"/>
        <v>407</v>
      </c>
      <c r="K25" s="2" t="s">
        <v>135</v>
      </c>
      <c r="L25" s="2" t="s">
        <v>130</v>
      </c>
      <c r="M25" s="2" t="s">
        <v>131</v>
      </c>
    </row>
    <row r="26" spans="1:13" ht="14.25" customHeight="1" x14ac:dyDescent="0.3">
      <c r="A26" s="2">
        <v>25</v>
      </c>
      <c r="B26" s="2">
        <v>1</v>
      </c>
      <c r="C26" s="3">
        <v>45961</v>
      </c>
      <c r="D26" s="3">
        <v>46111</v>
      </c>
      <c r="E26" s="3">
        <v>46132</v>
      </c>
      <c r="F26" s="3">
        <v>46417</v>
      </c>
      <c r="G26" s="6">
        <f t="shared" si="0"/>
        <v>171</v>
      </c>
      <c r="H26" s="6">
        <f t="shared" si="1"/>
        <v>21</v>
      </c>
      <c r="I26" s="6">
        <f t="shared" si="2"/>
        <v>285</v>
      </c>
      <c r="J26" s="6">
        <f t="shared" si="3"/>
        <v>456</v>
      </c>
      <c r="K26" s="2" t="s">
        <v>135</v>
      </c>
      <c r="L26" s="2" t="s">
        <v>133</v>
      </c>
      <c r="M26" s="2" t="s">
        <v>131</v>
      </c>
    </row>
    <row r="27" spans="1:13" ht="14.25" customHeight="1" x14ac:dyDescent="0.3">
      <c r="A27" s="2">
        <v>26</v>
      </c>
      <c r="B27" s="2">
        <v>1</v>
      </c>
      <c r="C27" s="3">
        <v>45909</v>
      </c>
      <c r="D27" s="3">
        <v>45975</v>
      </c>
      <c r="E27" s="3">
        <v>46017</v>
      </c>
      <c r="F27" s="3">
        <v>46299</v>
      </c>
      <c r="G27" s="6">
        <f t="shared" si="0"/>
        <v>108</v>
      </c>
      <c r="H27" s="6">
        <f t="shared" si="1"/>
        <v>42</v>
      </c>
      <c r="I27" s="6">
        <f t="shared" si="2"/>
        <v>282</v>
      </c>
      <c r="J27" s="6">
        <f t="shared" si="3"/>
        <v>390</v>
      </c>
      <c r="K27" s="2" t="s">
        <v>132</v>
      </c>
      <c r="L27" s="2" t="s">
        <v>133</v>
      </c>
      <c r="M27" s="2" t="s">
        <v>131</v>
      </c>
    </row>
    <row r="28" spans="1:13" ht="14.25" customHeight="1" x14ac:dyDescent="0.3">
      <c r="A28" s="2">
        <v>27</v>
      </c>
      <c r="B28" s="2">
        <v>1</v>
      </c>
      <c r="C28" s="3">
        <v>46060</v>
      </c>
      <c r="D28" s="3">
        <v>46192</v>
      </c>
      <c r="E28" s="3">
        <v>46192</v>
      </c>
      <c r="F28" s="3">
        <v>46473</v>
      </c>
      <c r="G28" s="6">
        <f t="shared" si="0"/>
        <v>132</v>
      </c>
      <c r="H28" s="6">
        <f t="shared" si="1"/>
        <v>0</v>
      </c>
      <c r="I28" s="6">
        <f t="shared" si="2"/>
        <v>281</v>
      </c>
      <c r="J28" s="6">
        <f t="shared" si="3"/>
        <v>413</v>
      </c>
      <c r="K28" s="2" t="s">
        <v>129</v>
      </c>
      <c r="L28" s="2" t="s">
        <v>133</v>
      </c>
      <c r="M28" s="2" t="s">
        <v>131</v>
      </c>
    </row>
    <row r="29" spans="1:13" ht="14.25" customHeight="1" x14ac:dyDescent="0.3">
      <c r="A29" s="2">
        <v>28</v>
      </c>
      <c r="B29" s="2">
        <v>1</v>
      </c>
      <c r="C29" s="3">
        <v>46135</v>
      </c>
      <c r="D29" s="3">
        <v>46276</v>
      </c>
      <c r="E29" s="3">
        <v>46276</v>
      </c>
      <c r="F29" s="3">
        <v>46554</v>
      </c>
      <c r="G29" s="6">
        <f t="shared" si="0"/>
        <v>141</v>
      </c>
      <c r="H29" s="6">
        <f t="shared" si="1"/>
        <v>0</v>
      </c>
      <c r="I29" s="6">
        <f t="shared" si="2"/>
        <v>278</v>
      </c>
      <c r="J29" s="6">
        <f t="shared" si="3"/>
        <v>419</v>
      </c>
      <c r="K29" s="2" t="s">
        <v>129</v>
      </c>
      <c r="L29" s="2" t="s">
        <v>130</v>
      </c>
      <c r="M29" s="2" t="s">
        <v>131</v>
      </c>
    </row>
    <row r="30" spans="1:13" ht="14.25" customHeight="1" x14ac:dyDescent="0.3">
      <c r="A30" s="2">
        <v>29</v>
      </c>
      <c r="B30" s="2">
        <v>1</v>
      </c>
      <c r="C30" s="3">
        <v>46032</v>
      </c>
      <c r="D30" s="3">
        <v>46211</v>
      </c>
      <c r="E30" s="3">
        <v>46211</v>
      </c>
      <c r="F30" s="3">
        <v>46493</v>
      </c>
      <c r="G30" s="6">
        <f t="shared" si="0"/>
        <v>179</v>
      </c>
      <c r="H30" s="6">
        <f t="shared" si="1"/>
        <v>0</v>
      </c>
      <c r="I30" s="6">
        <f t="shared" si="2"/>
        <v>282</v>
      </c>
      <c r="J30" s="6">
        <f t="shared" si="3"/>
        <v>461</v>
      </c>
      <c r="K30" s="2" t="s">
        <v>129</v>
      </c>
      <c r="L30" s="2" t="s">
        <v>133</v>
      </c>
      <c r="M30" s="2" t="s">
        <v>131</v>
      </c>
    </row>
    <row r="31" spans="1:13" ht="14.25" customHeight="1" x14ac:dyDescent="0.3">
      <c r="A31" s="2">
        <v>30</v>
      </c>
      <c r="B31" s="2">
        <v>1</v>
      </c>
      <c r="C31" s="3">
        <v>45989</v>
      </c>
      <c r="D31" s="3">
        <v>46136</v>
      </c>
      <c r="E31" s="3">
        <v>46178</v>
      </c>
      <c r="F31" s="3">
        <v>46464</v>
      </c>
      <c r="G31" s="6">
        <f t="shared" si="0"/>
        <v>189</v>
      </c>
      <c r="H31" s="6">
        <f t="shared" si="1"/>
        <v>42</v>
      </c>
      <c r="I31" s="6">
        <f t="shared" si="2"/>
        <v>286</v>
      </c>
      <c r="J31" s="6">
        <f t="shared" si="3"/>
        <v>475</v>
      </c>
      <c r="K31" s="2" t="s">
        <v>132</v>
      </c>
      <c r="L31" s="2" t="s">
        <v>133</v>
      </c>
      <c r="M31" s="2" t="s">
        <v>131</v>
      </c>
    </row>
    <row r="32" spans="1:13" ht="14.25" customHeight="1" x14ac:dyDescent="0.3">
      <c r="A32" s="2">
        <v>31</v>
      </c>
      <c r="B32" s="2">
        <v>1</v>
      </c>
      <c r="C32" s="3">
        <v>46059</v>
      </c>
      <c r="D32" s="3">
        <v>46131</v>
      </c>
      <c r="E32" s="3">
        <v>46194</v>
      </c>
      <c r="F32" s="3">
        <v>46475</v>
      </c>
      <c r="G32" s="6">
        <f t="shared" si="0"/>
        <v>135</v>
      </c>
      <c r="H32" s="6">
        <f t="shared" si="1"/>
        <v>63</v>
      </c>
      <c r="I32" s="6">
        <f t="shared" si="2"/>
        <v>281</v>
      </c>
      <c r="J32" s="6">
        <f t="shared" si="3"/>
        <v>416</v>
      </c>
      <c r="K32" s="2" t="s">
        <v>134</v>
      </c>
      <c r="L32" s="2" t="s">
        <v>133</v>
      </c>
      <c r="M32" s="2" t="s">
        <v>131</v>
      </c>
    </row>
    <row r="33" spans="1:13" ht="14.25" customHeight="1" x14ac:dyDescent="0.3">
      <c r="A33" s="2">
        <v>32</v>
      </c>
      <c r="B33" s="2">
        <v>1</v>
      </c>
      <c r="C33" s="3">
        <v>46085</v>
      </c>
      <c r="D33" s="3">
        <v>46184</v>
      </c>
      <c r="E33" s="3">
        <v>46205</v>
      </c>
      <c r="F33" s="3">
        <v>46484</v>
      </c>
      <c r="G33" s="6">
        <f t="shared" si="0"/>
        <v>120</v>
      </c>
      <c r="H33" s="6">
        <f t="shared" si="1"/>
        <v>21</v>
      </c>
      <c r="I33" s="6">
        <f t="shared" si="2"/>
        <v>279</v>
      </c>
      <c r="J33" s="6">
        <f t="shared" si="3"/>
        <v>399</v>
      </c>
      <c r="K33" s="2" t="s">
        <v>135</v>
      </c>
      <c r="L33" s="2" t="s">
        <v>133</v>
      </c>
      <c r="M33" s="2" t="s">
        <v>131</v>
      </c>
    </row>
    <row r="34" spans="1:13" ht="14.25" customHeight="1" x14ac:dyDescent="0.3">
      <c r="A34" s="2">
        <v>33</v>
      </c>
      <c r="B34" s="2">
        <v>1</v>
      </c>
      <c r="C34" s="3">
        <v>46061</v>
      </c>
      <c r="D34" s="3">
        <v>46159</v>
      </c>
      <c r="E34" s="3">
        <v>46180</v>
      </c>
      <c r="F34" s="3">
        <v>46458</v>
      </c>
      <c r="G34" s="6">
        <f t="shared" ref="G34:G69" si="4">IFERROR(IF(OR(C34="",E34=""),"",E34-C34),"")</f>
        <v>119</v>
      </c>
      <c r="H34" s="6">
        <f t="shared" ref="H34:H69" si="5">IFERROR(IF(OR(D34="",E34=""),"",E34-D34),"")</f>
        <v>21</v>
      </c>
      <c r="I34" s="6">
        <f t="shared" ref="I34:I69" si="6">IFERROR(IF(OR(E34="",F34=""),"",F34-E34),"")</f>
        <v>278</v>
      </c>
      <c r="J34" s="6">
        <f t="shared" ref="J34:J69" si="7">IFERROR(IF(OR(C34="",F34=""),"",F34-C34),"")</f>
        <v>397</v>
      </c>
      <c r="K34" s="2" t="s">
        <v>135</v>
      </c>
      <c r="L34" s="2" t="s">
        <v>133</v>
      </c>
      <c r="M34" s="2" t="s">
        <v>131</v>
      </c>
    </row>
    <row r="35" spans="1:13" ht="14.25" customHeight="1" x14ac:dyDescent="0.3">
      <c r="A35" s="2">
        <v>34</v>
      </c>
      <c r="B35" s="2">
        <v>1</v>
      </c>
      <c r="C35" s="3">
        <v>46017</v>
      </c>
      <c r="D35" s="3">
        <v>46158</v>
      </c>
      <c r="E35" s="3">
        <v>46158</v>
      </c>
      <c r="F35" s="3">
        <v>46440</v>
      </c>
      <c r="G35" s="6">
        <f t="shared" si="4"/>
        <v>141</v>
      </c>
      <c r="H35" s="6">
        <f t="shared" si="5"/>
        <v>0</v>
      </c>
      <c r="I35" s="6">
        <f t="shared" si="6"/>
        <v>282</v>
      </c>
      <c r="J35" s="6">
        <f t="shared" si="7"/>
        <v>423</v>
      </c>
      <c r="K35" s="2" t="s">
        <v>129</v>
      </c>
      <c r="L35" s="2" t="s">
        <v>133</v>
      </c>
      <c r="M35" s="2" t="s">
        <v>131</v>
      </c>
    </row>
    <row r="36" spans="1:13" ht="14.25" customHeight="1" x14ac:dyDescent="0.3">
      <c r="A36" s="2">
        <v>35</v>
      </c>
      <c r="B36" s="2">
        <v>1</v>
      </c>
      <c r="C36" s="3">
        <v>45982</v>
      </c>
      <c r="D36" s="3">
        <v>46099</v>
      </c>
      <c r="E36" s="3">
        <v>46120</v>
      </c>
      <c r="F36" s="3">
        <v>46403</v>
      </c>
      <c r="G36" s="6">
        <f t="shared" si="4"/>
        <v>138</v>
      </c>
      <c r="H36" s="6">
        <f t="shared" si="5"/>
        <v>21</v>
      </c>
      <c r="I36" s="6">
        <f t="shared" si="6"/>
        <v>283</v>
      </c>
      <c r="J36" s="6">
        <f t="shared" si="7"/>
        <v>421</v>
      </c>
      <c r="K36" s="2" t="s">
        <v>135</v>
      </c>
      <c r="L36" s="2" t="s">
        <v>133</v>
      </c>
      <c r="M36" s="2" t="s">
        <v>131</v>
      </c>
    </row>
    <row r="37" spans="1:13" ht="14.25" customHeight="1" x14ac:dyDescent="0.3">
      <c r="A37" s="2">
        <v>36</v>
      </c>
      <c r="B37" s="2">
        <v>1</v>
      </c>
      <c r="C37" s="3">
        <v>46047</v>
      </c>
      <c r="D37" s="3">
        <v>46098</v>
      </c>
      <c r="E37" s="3">
        <v>46161</v>
      </c>
      <c r="F37" s="3">
        <v>46440</v>
      </c>
      <c r="G37" s="6">
        <f t="shared" si="4"/>
        <v>114</v>
      </c>
      <c r="H37" s="6">
        <f t="shared" si="5"/>
        <v>63</v>
      </c>
      <c r="I37" s="6">
        <f t="shared" si="6"/>
        <v>279</v>
      </c>
      <c r="J37" s="6">
        <f t="shared" si="7"/>
        <v>393</v>
      </c>
      <c r="K37" s="2" t="s">
        <v>134</v>
      </c>
      <c r="L37" s="2" t="s">
        <v>133</v>
      </c>
      <c r="M37" s="2" t="s">
        <v>131</v>
      </c>
    </row>
    <row r="38" spans="1:13" ht="14.25" customHeight="1" x14ac:dyDescent="0.3">
      <c r="A38" s="2">
        <v>37</v>
      </c>
      <c r="B38" s="2">
        <v>1</v>
      </c>
      <c r="C38" s="3">
        <v>45985</v>
      </c>
      <c r="D38" s="3">
        <v>46063</v>
      </c>
      <c r="E38" s="3">
        <v>46126</v>
      </c>
      <c r="F38" s="3">
        <v>46414</v>
      </c>
      <c r="G38" s="6">
        <f t="shared" si="4"/>
        <v>141</v>
      </c>
      <c r="H38" s="6">
        <f t="shared" si="5"/>
        <v>63</v>
      </c>
      <c r="I38" s="6">
        <f t="shared" si="6"/>
        <v>288</v>
      </c>
      <c r="J38" s="6">
        <f t="shared" si="7"/>
        <v>429</v>
      </c>
      <c r="K38" s="2" t="s">
        <v>134</v>
      </c>
      <c r="L38" s="2" t="s">
        <v>133</v>
      </c>
      <c r="M38" s="2" t="s">
        <v>131</v>
      </c>
    </row>
    <row r="39" spans="1:13" ht="14.25" customHeight="1" x14ac:dyDescent="0.3">
      <c r="A39" s="2">
        <v>38</v>
      </c>
      <c r="B39" s="2">
        <v>1</v>
      </c>
      <c r="C39" s="3">
        <v>45979</v>
      </c>
      <c r="D39" s="3">
        <v>46111</v>
      </c>
      <c r="E39" s="3">
        <v>46111</v>
      </c>
      <c r="F39" s="3">
        <v>46397</v>
      </c>
      <c r="G39" s="6">
        <f t="shared" si="4"/>
        <v>132</v>
      </c>
      <c r="H39" s="6">
        <f t="shared" si="5"/>
        <v>0</v>
      </c>
      <c r="I39" s="6">
        <f t="shared" si="6"/>
        <v>286</v>
      </c>
      <c r="J39" s="6">
        <f t="shared" si="7"/>
        <v>418</v>
      </c>
      <c r="K39" s="2" t="s">
        <v>129</v>
      </c>
      <c r="L39" s="2" t="s">
        <v>133</v>
      </c>
      <c r="M39" s="2" t="s">
        <v>131</v>
      </c>
    </row>
    <row r="40" spans="1:13" ht="14.25" customHeight="1" x14ac:dyDescent="0.3">
      <c r="A40" s="2">
        <v>39</v>
      </c>
      <c r="B40" s="2">
        <v>1</v>
      </c>
      <c r="C40" s="3">
        <v>46133</v>
      </c>
      <c r="D40" s="3">
        <v>46205</v>
      </c>
      <c r="E40" s="3">
        <v>46226</v>
      </c>
      <c r="F40" s="3">
        <v>46508</v>
      </c>
      <c r="G40" s="6">
        <f t="shared" si="4"/>
        <v>93</v>
      </c>
      <c r="H40" s="6">
        <f t="shared" si="5"/>
        <v>21</v>
      </c>
      <c r="I40" s="6">
        <f t="shared" si="6"/>
        <v>282</v>
      </c>
      <c r="J40" s="6">
        <f t="shared" si="7"/>
        <v>375</v>
      </c>
      <c r="K40" s="2" t="s">
        <v>135</v>
      </c>
      <c r="L40" s="2" t="s">
        <v>133</v>
      </c>
      <c r="M40" s="2" t="s">
        <v>131</v>
      </c>
    </row>
    <row r="41" spans="1:13" ht="14.25" customHeight="1" x14ac:dyDescent="0.3">
      <c r="A41" s="2">
        <v>40</v>
      </c>
      <c r="B41" s="2">
        <v>1</v>
      </c>
      <c r="C41" s="3">
        <v>46017</v>
      </c>
      <c r="D41" s="3">
        <v>46199</v>
      </c>
      <c r="E41" s="3">
        <v>46241</v>
      </c>
      <c r="F41" s="3">
        <v>46525</v>
      </c>
      <c r="G41" s="6">
        <f t="shared" si="4"/>
        <v>224</v>
      </c>
      <c r="H41" s="6">
        <f t="shared" si="5"/>
        <v>42</v>
      </c>
      <c r="I41" s="6">
        <f t="shared" si="6"/>
        <v>284</v>
      </c>
      <c r="J41" s="6">
        <f t="shared" si="7"/>
        <v>508</v>
      </c>
      <c r="K41" s="2" t="s">
        <v>132</v>
      </c>
      <c r="L41" s="2" t="s">
        <v>133</v>
      </c>
      <c r="M41" s="2" t="s">
        <v>131</v>
      </c>
    </row>
    <row r="42" spans="1:13" ht="14.25" customHeight="1" x14ac:dyDescent="0.3">
      <c r="A42" s="2">
        <v>41</v>
      </c>
      <c r="B42" s="2">
        <v>1</v>
      </c>
      <c r="C42" s="3">
        <v>46080</v>
      </c>
      <c r="D42" s="3">
        <v>46227</v>
      </c>
      <c r="E42" s="3">
        <v>46227</v>
      </c>
      <c r="F42" s="3">
        <v>46505</v>
      </c>
      <c r="G42" s="6">
        <f t="shared" si="4"/>
        <v>147</v>
      </c>
      <c r="H42" s="6">
        <f t="shared" si="5"/>
        <v>0</v>
      </c>
      <c r="I42" s="6">
        <f t="shared" si="6"/>
        <v>278</v>
      </c>
      <c r="J42" s="6">
        <f t="shared" si="7"/>
        <v>425</v>
      </c>
      <c r="K42" s="2" t="s">
        <v>129</v>
      </c>
      <c r="L42" s="2" t="s">
        <v>133</v>
      </c>
      <c r="M42" s="2" t="s">
        <v>131</v>
      </c>
    </row>
    <row r="43" spans="1:13" ht="14.25" customHeight="1" x14ac:dyDescent="0.3">
      <c r="A43" s="2">
        <v>42</v>
      </c>
      <c r="B43" s="2">
        <v>1</v>
      </c>
      <c r="C43" s="3">
        <v>45968</v>
      </c>
      <c r="D43" s="3">
        <v>46105</v>
      </c>
      <c r="E43" s="3">
        <v>46126</v>
      </c>
      <c r="F43" s="3">
        <v>46409</v>
      </c>
      <c r="G43" s="6">
        <f t="shared" si="4"/>
        <v>158</v>
      </c>
      <c r="H43" s="6">
        <f t="shared" si="5"/>
        <v>21</v>
      </c>
      <c r="I43" s="6">
        <f t="shared" si="6"/>
        <v>283</v>
      </c>
      <c r="J43" s="6">
        <f t="shared" si="7"/>
        <v>441</v>
      </c>
      <c r="K43" s="2" t="s">
        <v>135</v>
      </c>
      <c r="L43" s="2" t="s">
        <v>133</v>
      </c>
      <c r="M43" s="2" t="s">
        <v>131</v>
      </c>
    </row>
    <row r="44" spans="1:13" ht="14.25" customHeight="1" x14ac:dyDescent="0.3">
      <c r="A44" s="2">
        <v>43</v>
      </c>
      <c r="B44" s="2">
        <v>1</v>
      </c>
      <c r="C44" s="3">
        <v>46091</v>
      </c>
      <c r="D44" s="3">
        <v>46164</v>
      </c>
      <c r="E44" s="3">
        <v>46227</v>
      </c>
      <c r="F44" s="3">
        <v>46507</v>
      </c>
      <c r="G44" s="6">
        <f t="shared" si="4"/>
        <v>136</v>
      </c>
      <c r="H44" s="6">
        <f t="shared" si="5"/>
        <v>63</v>
      </c>
      <c r="I44" s="6">
        <f t="shared" si="6"/>
        <v>280</v>
      </c>
      <c r="J44" s="6">
        <f t="shared" si="7"/>
        <v>416</v>
      </c>
      <c r="K44" s="2" t="s">
        <v>134</v>
      </c>
      <c r="L44" s="2" t="s">
        <v>133</v>
      </c>
      <c r="M44" s="2" t="s">
        <v>131</v>
      </c>
    </row>
    <row r="45" spans="1:13" ht="14.25" customHeight="1" x14ac:dyDescent="0.3">
      <c r="A45" s="2">
        <v>44</v>
      </c>
      <c r="B45" s="2">
        <v>1</v>
      </c>
      <c r="C45" s="3">
        <v>46027</v>
      </c>
      <c r="D45" s="3">
        <v>46104</v>
      </c>
      <c r="E45" s="3">
        <v>46125</v>
      </c>
      <c r="F45" s="3">
        <v>46406</v>
      </c>
      <c r="G45" s="6">
        <f t="shared" si="4"/>
        <v>98</v>
      </c>
      <c r="H45" s="6">
        <f t="shared" si="5"/>
        <v>21</v>
      </c>
      <c r="I45" s="6">
        <f t="shared" si="6"/>
        <v>281</v>
      </c>
      <c r="J45" s="6">
        <f t="shared" si="7"/>
        <v>379</v>
      </c>
      <c r="K45" s="2" t="s">
        <v>135</v>
      </c>
      <c r="L45" s="2" t="s">
        <v>133</v>
      </c>
      <c r="M45" s="2" t="s">
        <v>131</v>
      </c>
    </row>
    <row r="46" spans="1:13" ht="14.25" customHeight="1" x14ac:dyDescent="0.3">
      <c r="A46" s="2">
        <v>45</v>
      </c>
      <c r="B46" s="2">
        <v>1</v>
      </c>
      <c r="C46" s="3">
        <v>46029</v>
      </c>
      <c r="D46" s="3">
        <v>46176</v>
      </c>
      <c r="E46" s="3">
        <v>46176</v>
      </c>
      <c r="F46" s="3">
        <v>46461</v>
      </c>
      <c r="G46" s="6">
        <f t="shared" si="4"/>
        <v>147</v>
      </c>
      <c r="H46" s="6">
        <f t="shared" si="5"/>
        <v>0</v>
      </c>
      <c r="I46" s="6">
        <f t="shared" si="6"/>
        <v>285</v>
      </c>
      <c r="J46" s="6">
        <f t="shared" si="7"/>
        <v>432</v>
      </c>
      <c r="K46" s="2" t="s">
        <v>129</v>
      </c>
      <c r="L46" s="2" t="s">
        <v>133</v>
      </c>
      <c r="M46" s="2" t="s">
        <v>131</v>
      </c>
    </row>
    <row r="47" spans="1:13" ht="14.25" customHeight="1" x14ac:dyDescent="0.3">
      <c r="A47" s="2">
        <v>46</v>
      </c>
      <c r="B47" s="2">
        <v>1</v>
      </c>
      <c r="C47" s="3">
        <v>45893</v>
      </c>
      <c r="D47" s="3">
        <v>46020</v>
      </c>
      <c r="E47" s="3">
        <v>46020</v>
      </c>
      <c r="F47" s="3">
        <v>46305</v>
      </c>
      <c r="G47" s="6">
        <f t="shared" si="4"/>
        <v>127</v>
      </c>
      <c r="H47" s="6">
        <f t="shared" si="5"/>
        <v>0</v>
      </c>
      <c r="I47" s="6">
        <f t="shared" si="6"/>
        <v>285</v>
      </c>
      <c r="J47" s="6">
        <f t="shared" si="7"/>
        <v>412</v>
      </c>
      <c r="K47" s="2" t="s">
        <v>129</v>
      </c>
      <c r="L47" s="2" t="s">
        <v>133</v>
      </c>
      <c r="M47" s="2" t="s">
        <v>131</v>
      </c>
    </row>
    <row r="48" spans="1:13" ht="14.25" customHeight="1" x14ac:dyDescent="0.3">
      <c r="A48" s="2">
        <v>47</v>
      </c>
      <c r="B48" s="2">
        <v>1</v>
      </c>
      <c r="C48" s="3">
        <v>45944</v>
      </c>
      <c r="D48" s="3">
        <v>46080</v>
      </c>
      <c r="E48" s="3">
        <v>46080</v>
      </c>
      <c r="F48" s="3">
        <v>46363</v>
      </c>
      <c r="G48" s="6">
        <f t="shared" si="4"/>
        <v>136</v>
      </c>
      <c r="H48" s="6">
        <f t="shared" si="5"/>
        <v>0</v>
      </c>
      <c r="I48" s="6">
        <f t="shared" si="6"/>
        <v>283</v>
      </c>
      <c r="J48" s="6">
        <f t="shared" si="7"/>
        <v>419</v>
      </c>
      <c r="K48" s="2" t="s">
        <v>129</v>
      </c>
      <c r="L48" s="2" t="s">
        <v>130</v>
      </c>
      <c r="M48" s="2" t="s">
        <v>131</v>
      </c>
    </row>
    <row r="49" spans="1:13" ht="14.25" customHeight="1" x14ac:dyDescent="0.3">
      <c r="A49" s="2">
        <v>48</v>
      </c>
      <c r="B49" s="2">
        <v>1</v>
      </c>
      <c r="C49" s="3">
        <v>45979</v>
      </c>
      <c r="D49" s="3">
        <v>46057</v>
      </c>
      <c r="E49" s="3">
        <v>46099</v>
      </c>
      <c r="F49" s="3">
        <v>46383</v>
      </c>
      <c r="G49" s="6">
        <f t="shared" si="4"/>
        <v>120</v>
      </c>
      <c r="H49" s="6">
        <f t="shared" si="5"/>
        <v>42</v>
      </c>
      <c r="I49" s="6">
        <f t="shared" si="6"/>
        <v>284</v>
      </c>
      <c r="J49" s="6">
        <f t="shared" si="7"/>
        <v>404</v>
      </c>
      <c r="K49" s="2" t="s">
        <v>132</v>
      </c>
      <c r="L49" s="2" t="s">
        <v>133</v>
      </c>
      <c r="M49" s="2" t="s">
        <v>131</v>
      </c>
    </row>
    <row r="50" spans="1:13" ht="14.25" customHeight="1" x14ac:dyDescent="0.3">
      <c r="A50" s="2">
        <v>49</v>
      </c>
      <c r="B50" s="2">
        <v>1</v>
      </c>
      <c r="C50" s="3">
        <v>45993</v>
      </c>
      <c r="D50" s="3">
        <v>46099</v>
      </c>
      <c r="E50" s="3">
        <v>46120</v>
      </c>
      <c r="F50" s="3">
        <v>46409</v>
      </c>
      <c r="G50" s="6">
        <f t="shared" si="4"/>
        <v>127</v>
      </c>
      <c r="H50" s="6">
        <f t="shared" si="5"/>
        <v>21</v>
      </c>
      <c r="I50" s="6">
        <f t="shared" si="6"/>
        <v>289</v>
      </c>
      <c r="J50" s="6">
        <f t="shared" si="7"/>
        <v>416</v>
      </c>
      <c r="K50" s="2" t="s">
        <v>135</v>
      </c>
      <c r="L50" s="2" t="s">
        <v>133</v>
      </c>
      <c r="M50" s="2" t="s">
        <v>131</v>
      </c>
    </row>
    <row r="51" spans="1:13" ht="14.25" customHeight="1" x14ac:dyDescent="0.3">
      <c r="A51" s="2">
        <v>50</v>
      </c>
      <c r="B51" s="2">
        <v>1</v>
      </c>
      <c r="C51" s="3">
        <v>46091</v>
      </c>
      <c r="D51" s="3">
        <v>46173</v>
      </c>
      <c r="E51" s="3">
        <v>46236</v>
      </c>
      <c r="F51" s="3">
        <v>46521</v>
      </c>
      <c r="G51" s="6">
        <f t="shared" si="4"/>
        <v>145</v>
      </c>
      <c r="H51" s="6">
        <f t="shared" si="5"/>
        <v>63</v>
      </c>
      <c r="I51" s="6">
        <f t="shared" si="6"/>
        <v>285</v>
      </c>
      <c r="J51" s="6">
        <f t="shared" si="7"/>
        <v>430</v>
      </c>
      <c r="K51" s="2" t="s">
        <v>134</v>
      </c>
      <c r="L51" s="2" t="s">
        <v>133</v>
      </c>
      <c r="M51" s="2" t="s">
        <v>131</v>
      </c>
    </row>
    <row r="52" spans="1:13" ht="14.25" customHeight="1" x14ac:dyDescent="0.3">
      <c r="A52" s="2">
        <v>51</v>
      </c>
      <c r="B52" s="2">
        <v>1</v>
      </c>
      <c r="C52" s="3">
        <v>46030</v>
      </c>
      <c r="D52" s="3">
        <v>46242</v>
      </c>
      <c r="E52" s="3">
        <v>46242</v>
      </c>
      <c r="F52" s="3">
        <v>46529</v>
      </c>
      <c r="G52" s="6">
        <f t="shared" si="4"/>
        <v>212</v>
      </c>
      <c r="H52" s="6">
        <f t="shared" si="5"/>
        <v>0</v>
      </c>
      <c r="I52" s="6">
        <f t="shared" si="6"/>
        <v>287</v>
      </c>
      <c r="J52" s="6">
        <f t="shared" si="7"/>
        <v>499</v>
      </c>
      <c r="K52" s="2" t="s">
        <v>129</v>
      </c>
      <c r="L52" s="2" t="s">
        <v>133</v>
      </c>
      <c r="M52" s="2" t="s">
        <v>131</v>
      </c>
    </row>
    <row r="53" spans="1:13" ht="14.25" customHeight="1" x14ac:dyDescent="0.3">
      <c r="A53" s="2">
        <v>52</v>
      </c>
      <c r="B53" s="2">
        <v>1</v>
      </c>
      <c r="C53" s="3">
        <v>45980</v>
      </c>
      <c r="D53" s="3">
        <v>46048</v>
      </c>
      <c r="E53" s="3">
        <v>46090</v>
      </c>
      <c r="F53" s="3">
        <v>46377</v>
      </c>
      <c r="G53" s="6">
        <f t="shared" si="4"/>
        <v>110</v>
      </c>
      <c r="H53" s="6">
        <f t="shared" si="5"/>
        <v>42</v>
      </c>
      <c r="I53" s="6">
        <f t="shared" si="6"/>
        <v>287</v>
      </c>
      <c r="J53" s="6">
        <f t="shared" si="7"/>
        <v>397</v>
      </c>
      <c r="K53" s="2" t="s">
        <v>132</v>
      </c>
      <c r="L53" s="2" t="s">
        <v>133</v>
      </c>
      <c r="M53" s="2" t="s">
        <v>131</v>
      </c>
    </row>
    <row r="54" spans="1:13" ht="14.25" customHeight="1" x14ac:dyDescent="0.3">
      <c r="A54" s="2">
        <v>53</v>
      </c>
      <c r="B54" s="2">
        <v>1</v>
      </c>
      <c r="C54" s="3">
        <v>46101</v>
      </c>
      <c r="D54" s="3">
        <v>46269</v>
      </c>
      <c r="E54" s="3">
        <v>46269</v>
      </c>
      <c r="F54" s="3">
        <v>46554</v>
      </c>
      <c r="G54" s="6">
        <f t="shared" si="4"/>
        <v>168</v>
      </c>
      <c r="H54" s="6">
        <f t="shared" si="5"/>
        <v>0</v>
      </c>
      <c r="I54" s="6">
        <f t="shared" si="6"/>
        <v>285</v>
      </c>
      <c r="J54" s="6">
        <f t="shared" si="7"/>
        <v>453</v>
      </c>
      <c r="K54" s="2" t="s">
        <v>129</v>
      </c>
      <c r="L54" s="2" t="s">
        <v>133</v>
      </c>
      <c r="M54" s="2" t="s">
        <v>131</v>
      </c>
    </row>
    <row r="55" spans="1:13" ht="14.25" customHeight="1" x14ac:dyDescent="0.3">
      <c r="A55" s="2">
        <v>54</v>
      </c>
      <c r="B55" s="2">
        <v>1</v>
      </c>
      <c r="C55" s="3">
        <v>45952</v>
      </c>
      <c r="D55" s="3">
        <v>46018</v>
      </c>
      <c r="E55" s="3">
        <v>46060</v>
      </c>
      <c r="F55" s="3">
        <v>46347</v>
      </c>
      <c r="G55" s="6">
        <f t="shared" si="4"/>
        <v>108</v>
      </c>
      <c r="H55" s="6">
        <f t="shared" si="5"/>
        <v>42</v>
      </c>
      <c r="I55" s="6">
        <f t="shared" si="6"/>
        <v>287</v>
      </c>
      <c r="J55" s="6">
        <f t="shared" si="7"/>
        <v>395</v>
      </c>
      <c r="K55" s="2" t="s">
        <v>132</v>
      </c>
      <c r="L55" s="2" t="s">
        <v>133</v>
      </c>
      <c r="M55" s="2" t="s">
        <v>131</v>
      </c>
    </row>
    <row r="56" spans="1:13" ht="14.25" customHeight="1" x14ac:dyDescent="0.3">
      <c r="A56" s="2">
        <v>55</v>
      </c>
      <c r="B56" s="2">
        <v>1</v>
      </c>
      <c r="C56" s="3">
        <v>45949</v>
      </c>
      <c r="D56" s="3">
        <v>46076</v>
      </c>
      <c r="E56" s="3">
        <v>46076</v>
      </c>
      <c r="F56" s="3">
        <v>46355</v>
      </c>
      <c r="G56" s="6">
        <f t="shared" si="4"/>
        <v>127</v>
      </c>
      <c r="H56" s="6">
        <f t="shared" si="5"/>
        <v>0</v>
      </c>
      <c r="I56" s="6">
        <f t="shared" si="6"/>
        <v>279</v>
      </c>
      <c r="J56" s="6">
        <f t="shared" si="7"/>
        <v>406</v>
      </c>
      <c r="K56" s="2" t="s">
        <v>129</v>
      </c>
      <c r="L56" s="2" t="s">
        <v>133</v>
      </c>
      <c r="M56" s="2" t="s">
        <v>131</v>
      </c>
    </row>
    <row r="57" spans="1:13" ht="14.25" customHeight="1" x14ac:dyDescent="0.3">
      <c r="A57" s="2">
        <v>56</v>
      </c>
      <c r="B57" s="2">
        <v>1</v>
      </c>
      <c r="C57" s="3">
        <v>45903</v>
      </c>
      <c r="D57" s="3">
        <v>46030</v>
      </c>
      <c r="E57" s="3">
        <v>46051</v>
      </c>
      <c r="F57" s="3">
        <v>46336</v>
      </c>
      <c r="G57" s="6">
        <f t="shared" si="4"/>
        <v>148</v>
      </c>
      <c r="H57" s="6">
        <f t="shared" si="5"/>
        <v>21</v>
      </c>
      <c r="I57" s="6">
        <f t="shared" si="6"/>
        <v>285</v>
      </c>
      <c r="J57" s="6">
        <f t="shared" si="7"/>
        <v>433</v>
      </c>
      <c r="K57" s="2" t="s">
        <v>135</v>
      </c>
      <c r="L57" s="2" t="s">
        <v>133</v>
      </c>
      <c r="M57" s="2" t="s">
        <v>131</v>
      </c>
    </row>
    <row r="58" spans="1:13" ht="14.25" customHeight="1" x14ac:dyDescent="0.3">
      <c r="A58" s="2">
        <v>57</v>
      </c>
      <c r="B58" s="2">
        <v>1</v>
      </c>
      <c r="C58" s="3">
        <v>46045</v>
      </c>
      <c r="D58" s="3">
        <v>46163</v>
      </c>
      <c r="E58" s="3">
        <v>46163</v>
      </c>
      <c r="F58" s="3">
        <v>46441</v>
      </c>
      <c r="G58" s="6">
        <f t="shared" si="4"/>
        <v>118</v>
      </c>
      <c r="H58" s="6">
        <f t="shared" si="5"/>
        <v>0</v>
      </c>
      <c r="I58" s="6">
        <f t="shared" si="6"/>
        <v>278</v>
      </c>
      <c r="J58" s="6">
        <f t="shared" si="7"/>
        <v>396</v>
      </c>
      <c r="K58" s="2" t="s">
        <v>129</v>
      </c>
      <c r="L58" s="2" t="s">
        <v>133</v>
      </c>
      <c r="M58" s="2" t="s">
        <v>131</v>
      </c>
    </row>
    <row r="59" spans="1:13" ht="14.25" customHeight="1" x14ac:dyDescent="0.3">
      <c r="A59" s="2">
        <v>58</v>
      </c>
      <c r="B59" s="2">
        <v>1</v>
      </c>
      <c r="C59" s="3">
        <v>45990</v>
      </c>
      <c r="D59" s="3">
        <v>46130</v>
      </c>
      <c r="E59" s="3">
        <v>46130</v>
      </c>
      <c r="F59" s="3">
        <v>46411</v>
      </c>
      <c r="G59" s="6">
        <f t="shared" si="4"/>
        <v>140</v>
      </c>
      <c r="H59" s="6">
        <f t="shared" si="5"/>
        <v>0</v>
      </c>
      <c r="I59" s="6">
        <f t="shared" si="6"/>
        <v>281</v>
      </c>
      <c r="J59" s="6">
        <f t="shared" si="7"/>
        <v>421</v>
      </c>
      <c r="K59" s="2" t="s">
        <v>129</v>
      </c>
      <c r="L59" s="2" t="s">
        <v>133</v>
      </c>
      <c r="M59" s="2" t="s">
        <v>131</v>
      </c>
    </row>
    <row r="60" spans="1:13" ht="14.25" customHeight="1" x14ac:dyDescent="0.3">
      <c r="A60" s="2">
        <v>59</v>
      </c>
      <c r="B60" s="2">
        <v>1</v>
      </c>
      <c r="C60" s="3">
        <v>46114</v>
      </c>
      <c r="D60" s="3">
        <v>46218</v>
      </c>
      <c r="E60" s="3">
        <v>46218</v>
      </c>
      <c r="F60" s="3">
        <v>46503</v>
      </c>
      <c r="G60" s="6">
        <f t="shared" si="4"/>
        <v>104</v>
      </c>
      <c r="H60" s="6">
        <f t="shared" si="5"/>
        <v>0</v>
      </c>
      <c r="I60" s="6">
        <f t="shared" si="6"/>
        <v>285</v>
      </c>
      <c r="J60" s="6">
        <f t="shared" si="7"/>
        <v>389</v>
      </c>
      <c r="K60" s="2" t="s">
        <v>129</v>
      </c>
      <c r="L60" s="2" t="s">
        <v>133</v>
      </c>
      <c r="M60" s="2" t="s">
        <v>131</v>
      </c>
    </row>
    <row r="61" spans="1:13" ht="14.25" customHeight="1" x14ac:dyDescent="0.3">
      <c r="A61" s="2">
        <v>60</v>
      </c>
      <c r="B61" s="2">
        <v>1</v>
      </c>
      <c r="C61" s="3">
        <v>46128</v>
      </c>
      <c r="D61" s="3">
        <v>46251</v>
      </c>
      <c r="E61" s="3">
        <v>46251</v>
      </c>
      <c r="F61" s="3">
        <v>46534</v>
      </c>
      <c r="G61" s="6">
        <f t="shared" si="4"/>
        <v>123</v>
      </c>
      <c r="H61" s="6">
        <f t="shared" si="5"/>
        <v>0</v>
      </c>
      <c r="I61" s="6">
        <f t="shared" si="6"/>
        <v>283</v>
      </c>
      <c r="J61" s="6">
        <f t="shared" si="7"/>
        <v>406</v>
      </c>
      <c r="K61" s="2" t="s">
        <v>129</v>
      </c>
      <c r="L61" s="2" t="s">
        <v>133</v>
      </c>
      <c r="M61" s="2" t="s">
        <v>131</v>
      </c>
    </row>
    <row r="62" spans="1:13" ht="14.25" customHeight="1" x14ac:dyDescent="0.3">
      <c r="A62" s="2">
        <v>61</v>
      </c>
      <c r="B62" s="2">
        <v>1</v>
      </c>
      <c r="C62" s="3">
        <v>46110</v>
      </c>
      <c r="D62" s="3">
        <v>46199</v>
      </c>
      <c r="E62" s="3">
        <v>46241</v>
      </c>
      <c r="F62" s="3">
        <v>46526</v>
      </c>
      <c r="G62" s="6">
        <f t="shared" si="4"/>
        <v>131</v>
      </c>
      <c r="H62" s="6">
        <f t="shared" si="5"/>
        <v>42</v>
      </c>
      <c r="I62" s="6">
        <f t="shared" si="6"/>
        <v>285</v>
      </c>
      <c r="J62" s="6">
        <f t="shared" si="7"/>
        <v>416</v>
      </c>
      <c r="K62" s="2" t="s">
        <v>132</v>
      </c>
      <c r="L62" s="2" t="s">
        <v>133</v>
      </c>
      <c r="M62" s="2" t="s">
        <v>131</v>
      </c>
    </row>
    <row r="63" spans="1:13" ht="14.25" customHeight="1" x14ac:dyDescent="0.3">
      <c r="A63" s="2">
        <v>62</v>
      </c>
      <c r="B63" s="2">
        <v>1</v>
      </c>
      <c r="C63" s="3">
        <v>46090</v>
      </c>
      <c r="D63" s="3">
        <v>46219</v>
      </c>
      <c r="E63" s="3">
        <v>46219</v>
      </c>
      <c r="F63" s="3">
        <v>46499</v>
      </c>
      <c r="G63" s="6">
        <f t="shared" si="4"/>
        <v>129</v>
      </c>
      <c r="H63" s="6">
        <f t="shared" si="5"/>
        <v>0</v>
      </c>
      <c r="I63" s="6">
        <f t="shared" si="6"/>
        <v>280</v>
      </c>
      <c r="J63" s="6">
        <f t="shared" si="7"/>
        <v>409</v>
      </c>
      <c r="K63" s="2" t="s">
        <v>129</v>
      </c>
      <c r="L63" s="2" t="s">
        <v>133</v>
      </c>
      <c r="M63" s="2" t="s">
        <v>131</v>
      </c>
    </row>
    <row r="64" spans="1:13" ht="14.25" customHeight="1" x14ac:dyDescent="0.3">
      <c r="A64" s="2">
        <v>63</v>
      </c>
      <c r="B64" s="2">
        <v>1</v>
      </c>
      <c r="C64" s="3">
        <v>46116</v>
      </c>
      <c r="D64" s="3">
        <v>46277</v>
      </c>
      <c r="E64" s="3">
        <v>46298</v>
      </c>
      <c r="F64" s="3">
        <v>46581</v>
      </c>
      <c r="G64" s="6">
        <f t="shared" si="4"/>
        <v>182</v>
      </c>
      <c r="H64" s="6">
        <f t="shared" si="5"/>
        <v>21</v>
      </c>
      <c r="I64" s="6">
        <f t="shared" si="6"/>
        <v>283</v>
      </c>
      <c r="J64" s="6">
        <f t="shared" si="7"/>
        <v>465</v>
      </c>
      <c r="K64" s="2" t="s">
        <v>135</v>
      </c>
      <c r="L64" s="2" t="s">
        <v>130</v>
      </c>
      <c r="M64" s="2" t="s">
        <v>131</v>
      </c>
    </row>
    <row r="65" spans="1:13" ht="14.25" customHeight="1" x14ac:dyDescent="0.3">
      <c r="A65" s="2">
        <v>64</v>
      </c>
      <c r="B65" s="2">
        <v>1</v>
      </c>
      <c r="C65" s="3">
        <v>45988</v>
      </c>
      <c r="D65" s="3">
        <v>46137</v>
      </c>
      <c r="E65" s="3">
        <v>46158</v>
      </c>
      <c r="F65" s="3">
        <v>46443</v>
      </c>
      <c r="G65" s="6">
        <f t="shared" si="4"/>
        <v>170</v>
      </c>
      <c r="H65" s="6">
        <f t="shared" si="5"/>
        <v>21</v>
      </c>
      <c r="I65" s="6">
        <f t="shared" si="6"/>
        <v>285</v>
      </c>
      <c r="J65" s="6">
        <f t="shared" si="7"/>
        <v>455</v>
      </c>
      <c r="K65" s="2" t="s">
        <v>135</v>
      </c>
      <c r="L65" s="2" t="s">
        <v>133</v>
      </c>
      <c r="M65" s="2" t="s">
        <v>131</v>
      </c>
    </row>
    <row r="66" spans="1:13" ht="14.25" customHeight="1" x14ac:dyDescent="0.3">
      <c r="A66" s="2">
        <v>65</v>
      </c>
      <c r="B66" s="2">
        <v>1</v>
      </c>
      <c r="C66" s="3">
        <v>45970</v>
      </c>
      <c r="D66" s="3">
        <v>46119</v>
      </c>
      <c r="E66" s="3">
        <v>46119</v>
      </c>
      <c r="F66" s="3">
        <v>46403</v>
      </c>
      <c r="G66" s="6">
        <f t="shared" si="4"/>
        <v>149</v>
      </c>
      <c r="H66" s="6">
        <f t="shared" si="5"/>
        <v>0</v>
      </c>
      <c r="I66" s="6">
        <f t="shared" si="6"/>
        <v>284</v>
      </c>
      <c r="J66" s="6">
        <f t="shared" si="7"/>
        <v>433</v>
      </c>
      <c r="K66" s="2" t="s">
        <v>129</v>
      </c>
      <c r="L66" s="2" t="s">
        <v>133</v>
      </c>
      <c r="M66" s="2" t="s">
        <v>131</v>
      </c>
    </row>
    <row r="67" spans="1:13" ht="14.25" customHeight="1" x14ac:dyDescent="0.3">
      <c r="A67" s="2">
        <v>66</v>
      </c>
      <c r="B67" s="2">
        <v>1</v>
      </c>
      <c r="C67" s="3">
        <v>45989</v>
      </c>
      <c r="D67" s="3">
        <v>46108</v>
      </c>
      <c r="E67" s="3">
        <v>46129</v>
      </c>
      <c r="F67" s="3">
        <v>46408</v>
      </c>
      <c r="G67" s="6">
        <f t="shared" si="4"/>
        <v>140</v>
      </c>
      <c r="H67" s="6">
        <f t="shared" si="5"/>
        <v>21</v>
      </c>
      <c r="I67" s="6">
        <f t="shared" si="6"/>
        <v>279</v>
      </c>
      <c r="J67" s="6">
        <f t="shared" si="7"/>
        <v>419</v>
      </c>
      <c r="K67" s="2" t="s">
        <v>135</v>
      </c>
      <c r="L67" s="2" t="s">
        <v>133</v>
      </c>
      <c r="M67" s="2" t="s">
        <v>131</v>
      </c>
    </row>
    <row r="68" spans="1:13" ht="14.25" customHeight="1" x14ac:dyDescent="0.3">
      <c r="A68" s="2">
        <v>67</v>
      </c>
      <c r="B68" s="2">
        <v>1</v>
      </c>
      <c r="C68" s="3">
        <v>46137</v>
      </c>
      <c r="D68" s="3">
        <v>46231</v>
      </c>
      <c r="E68" s="3">
        <v>46252</v>
      </c>
      <c r="F68" s="3">
        <v>46535</v>
      </c>
      <c r="G68" s="6">
        <f t="shared" si="4"/>
        <v>115</v>
      </c>
      <c r="H68" s="6">
        <f t="shared" si="5"/>
        <v>21</v>
      </c>
      <c r="I68" s="6">
        <f t="shared" si="6"/>
        <v>283</v>
      </c>
      <c r="J68" s="6">
        <f t="shared" si="7"/>
        <v>398</v>
      </c>
      <c r="K68" s="2" t="s">
        <v>135</v>
      </c>
      <c r="L68" s="2" t="s">
        <v>133</v>
      </c>
      <c r="M68" s="2" t="s">
        <v>131</v>
      </c>
    </row>
    <row r="69" spans="1:13" ht="14.25" customHeight="1" x14ac:dyDescent="0.3">
      <c r="A69" s="2">
        <v>68</v>
      </c>
      <c r="B69" s="2">
        <v>1</v>
      </c>
      <c r="C69" s="3">
        <v>45992</v>
      </c>
      <c r="D69" s="3">
        <v>46134</v>
      </c>
      <c r="E69" s="3">
        <v>46134</v>
      </c>
      <c r="F69" s="3">
        <v>46416</v>
      </c>
      <c r="G69" s="6">
        <f t="shared" si="4"/>
        <v>142</v>
      </c>
      <c r="H69" s="6">
        <f t="shared" si="5"/>
        <v>0</v>
      </c>
      <c r="I69" s="6">
        <f t="shared" si="6"/>
        <v>282</v>
      </c>
      <c r="J69" s="6">
        <f t="shared" si="7"/>
        <v>424</v>
      </c>
      <c r="K69" s="2" t="s">
        <v>129</v>
      </c>
      <c r="L69" s="2" t="s">
        <v>133</v>
      </c>
      <c r="M69" s="2" t="s">
        <v>131</v>
      </c>
    </row>
    <row r="71" spans="1:13" ht="14.25" customHeight="1" x14ac:dyDescent="0.3">
      <c r="I71" s="46"/>
    </row>
  </sheetData>
  <autoFilter ref="A1:O69" xr:uid="{00000000-0009-0000-0000-000002000000}"/>
  <dataValidations count="2">
    <dataValidation type="list" allowBlank="1" sqref="M2:M69" xr:uid="{00000000-0002-0000-0200-000000000000}">
      <formula1>"Preñada,Vacía,Abortó,Repetidora"</formula1>
      <formula2>0</formula2>
    </dataValidation>
    <dataValidation type="list" allowBlank="1" sqref="K2:K69" xr:uid="{00000000-0002-0000-0200-000001000000}">
      <formula1>"1,2,3,4,5+"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zoomScaleNormal="100" workbookViewId="0">
      <pane ySplit="1" topLeftCell="A2" activePane="bottomLeft" state="frozen"/>
      <selection pane="bottomLeft" activeCell="K18" sqref="K18"/>
    </sheetView>
  </sheetViews>
  <sheetFormatPr baseColWidth="10" defaultColWidth="13.21875" defaultRowHeight="14.25" customHeight="1" x14ac:dyDescent="0.3"/>
  <sheetData>
    <row r="1" spans="1:14" ht="42.75" customHeight="1" x14ac:dyDescent="0.3">
      <c r="A1" s="1" t="s">
        <v>0</v>
      </c>
      <c r="B1" s="1" t="s">
        <v>104</v>
      </c>
      <c r="C1" s="1" t="s">
        <v>105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128</v>
      </c>
      <c r="K1" s="1" t="s">
        <v>117</v>
      </c>
      <c r="L1" s="8"/>
      <c r="M1" s="8"/>
      <c r="N1" s="8"/>
    </row>
    <row r="2" spans="1:14" ht="14.25" customHeight="1" x14ac:dyDescent="0.3">
      <c r="A2" s="2">
        <v>5</v>
      </c>
      <c r="B2" s="2">
        <v>1</v>
      </c>
      <c r="C2" s="3">
        <v>45954</v>
      </c>
      <c r="D2" s="3">
        <v>46064</v>
      </c>
      <c r="E2" s="2">
        <f t="shared" ref="E2:E9" si="0">IFERROR(IF(OR(C2="",D2=""),"",D2-C2),"")</f>
        <v>110</v>
      </c>
      <c r="F2" s="2" t="s">
        <v>142</v>
      </c>
      <c r="G2" s="2" t="s">
        <v>143</v>
      </c>
      <c r="H2" s="6">
        <v>4</v>
      </c>
      <c r="I2" s="9">
        <v>55.03</v>
      </c>
      <c r="J2" s="2" t="s">
        <v>144</v>
      </c>
    </row>
    <row r="3" spans="1:14" ht="14.25" customHeight="1" x14ac:dyDescent="0.3">
      <c r="A3" s="2">
        <v>11</v>
      </c>
      <c r="B3" s="2">
        <v>1</v>
      </c>
      <c r="C3" s="3">
        <v>46006</v>
      </c>
      <c r="D3" s="3">
        <v>46083</v>
      </c>
      <c r="E3" s="2">
        <f t="shared" si="0"/>
        <v>77</v>
      </c>
      <c r="F3" s="2" t="s">
        <v>142</v>
      </c>
      <c r="G3" s="2" t="s">
        <v>143</v>
      </c>
      <c r="H3" s="6">
        <v>4</v>
      </c>
      <c r="I3" s="9">
        <v>55.03</v>
      </c>
      <c r="J3" s="2" t="s">
        <v>144</v>
      </c>
    </row>
    <row r="4" spans="1:14" ht="14.25" customHeight="1" x14ac:dyDescent="0.3">
      <c r="A4" s="2">
        <v>18</v>
      </c>
      <c r="B4" s="2">
        <v>1</v>
      </c>
      <c r="C4" s="3">
        <v>45958</v>
      </c>
      <c r="D4" s="3">
        <v>46047</v>
      </c>
      <c r="E4" s="2">
        <f t="shared" si="0"/>
        <v>89</v>
      </c>
      <c r="F4" s="2" t="s">
        <v>142</v>
      </c>
      <c r="G4" s="2" t="s">
        <v>143</v>
      </c>
      <c r="H4" s="6">
        <v>4</v>
      </c>
      <c r="I4" s="9">
        <v>55.03</v>
      </c>
      <c r="J4" s="2" t="s">
        <v>144</v>
      </c>
    </row>
    <row r="5" spans="1:14" ht="14.25" customHeight="1" x14ac:dyDescent="0.3">
      <c r="A5" s="2">
        <v>25</v>
      </c>
      <c r="B5" s="2">
        <v>1</v>
      </c>
      <c r="C5" s="3">
        <v>45961</v>
      </c>
      <c r="D5" s="3">
        <v>46057</v>
      </c>
      <c r="E5" s="2">
        <f t="shared" si="0"/>
        <v>96</v>
      </c>
      <c r="F5" s="2" t="s">
        <v>142</v>
      </c>
      <c r="G5" s="2" t="s">
        <v>145</v>
      </c>
      <c r="H5" s="6">
        <v>5</v>
      </c>
      <c r="I5" s="9">
        <v>55.03</v>
      </c>
      <c r="J5" s="2" t="s">
        <v>144</v>
      </c>
    </row>
    <row r="6" spans="1:14" ht="14.25" customHeight="1" x14ac:dyDescent="0.3">
      <c r="A6" s="2">
        <v>31</v>
      </c>
      <c r="B6" s="2">
        <v>1</v>
      </c>
      <c r="C6" s="3">
        <v>46059</v>
      </c>
      <c r="D6" s="3">
        <v>46153</v>
      </c>
      <c r="E6" s="2">
        <f t="shared" si="0"/>
        <v>94</v>
      </c>
      <c r="F6" s="2" t="s">
        <v>142</v>
      </c>
      <c r="G6" s="2" t="s">
        <v>146</v>
      </c>
      <c r="H6" s="6">
        <v>3</v>
      </c>
      <c r="I6" s="9">
        <v>55.03</v>
      </c>
      <c r="J6" s="2" t="s">
        <v>144</v>
      </c>
    </row>
    <row r="7" spans="1:14" ht="14.25" customHeight="1" x14ac:dyDescent="0.3">
      <c r="A7" s="2">
        <v>47</v>
      </c>
      <c r="B7" s="2">
        <v>1</v>
      </c>
      <c r="C7" s="3">
        <v>45944</v>
      </c>
      <c r="D7" s="3">
        <v>46057</v>
      </c>
      <c r="E7" s="2">
        <f t="shared" si="0"/>
        <v>113</v>
      </c>
      <c r="F7" s="2" t="s">
        <v>142</v>
      </c>
      <c r="G7" s="2" t="s">
        <v>145</v>
      </c>
      <c r="H7" s="6">
        <v>5</v>
      </c>
      <c r="I7" s="9">
        <v>55.03</v>
      </c>
      <c r="J7" s="2" t="s">
        <v>144</v>
      </c>
    </row>
    <row r="8" spans="1:14" ht="14.25" customHeight="1" x14ac:dyDescent="0.3">
      <c r="A8" s="2">
        <v>53</v>
      </c>
      <c r="B8" s="2">
        <v>1</v>
      </c>
      <c r="C8" s="3">
        <v>46101</v>
      </c>
      <c r="D8" s="3">
        <v>46205</v>
      </c>
      <c r="E8" s="2">
        <f t="shared" si="0"/>
        <v>104</v>
      </c>
      <c r="F8" s="2" t="s">
        <v>142</v>
      </c>
      <c r="G8" s="2" t="s">
        <v>146</v>
      </c>
      <c r="H8" s="6">
        <v>3</v>
      </c>
      <c r="I8" s="9">
        <v>55.03</v>
      </c>
      <c r="J8" s="2" t="s">
        <v>144</v>
      </c>
    </row>
    <row r="9" spans="1:14" ht="14.25" customHeight="1" x14ac:dyDescent="0.3">
      <c r="A9" s="2">
        <v>56</v>
      </c>
      <c r="B9" s="2">
        <v>1</v>
      </c>
      <c r="C9" s="3">
        <v>45903</v>
      </c>
      <c r="D9" s="3">
        <v>45994</v>
      </c>
      <c r="E9" s="2">
        <f t="shared" si="0"/>
        <v>91</v>
      </c>
      <c r="F9" s="2" t="s">
        <v>142</v>
      </c>
      <c r="G9" s="2" t="s">
        <v>146</v>
      </c>
      <c r="H9" s="6">
        <v>3</v>
      </c>
      <c r="I9" s="9">
        <v>55.03</v>
      </c>
      <c r="J9" s="2" t="s">
        <v>144</v>
      </c>
    </row>
    <row r="11" spans="1:14" ht="14.25" customHeight="1" x14ac:dyDescent="0.3">
      <c r="E11" s="51"/>
    </row>
  </sheetData>
  <autoFilter ref="A1:N9" xr:uid="{00000000-0009-0000-0000-000003000000}"/>
  <dataValidations count="3">
    <dataValidation type="list" allowBlank="1" sqref="F2:F9" xr:uid="{00000000-0002-0000-0300-000000000000}">
      <formula1>"Mastitis clínica,Mastitis subclínica,Cojera,Metabólico,Reproductivo,Otro"</formula1>
      <formula2>0</formula2>
    </dataValidation>
    <dataValidation type="list" allowBlank="1" sqref="G2:G9" xr:uid="{00000000-0002-0000-0300-000001000000}">
      <formula1>"Leve,Moderada,Severa"</formula1>
      <formula2>0</formula2>
    </dataValidation>
    <dataValidation type="list" allowBlank="1" sqref="J2:J9" xr:uid="{00000000-0002-0000-0300-000002000000}">
      <formula1>"Recuperada,Descartada,Muerta"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E67B-2C93-4C60-A344-7BC4E7A54D51}">
  <dimension ref="A1:H38"/>
  <sheetViews>
    <sheetView topLeftCell="A16" workbookViewId="0">
      <selection activeCell="F26" sqref="F26"/>
    </sheetView>
  </sheetViews>
  <sheetFormatPr baseColWidth="10" defaultRowHeight="14.4" x14ac:dyDescent="0.3"/>
  <cols>
    <col min="1" max="1" width="36.109375" customWidth="1"/>
    <col min="2" max="6" width="13" customWidth="1"/>
  </cols>
  <sheetData>
    <row r="1" spans="1:6" x14ac:dyDescent="0.3">
      <c r="A1" s="63" t="s">
        <v>236</v>
      </c>
      <c r="B1" s="63"/>
      <c r="C1" s="63"/>
      <c r="D1" s="63"/>
      <c r="E1" s="63"/>
      <c r="F1" s="63"/>
    </row>
    <row r="2" spans="1:6" x14ac:dyDescent="0.3">
      <c r="A2" s="64" t="s">
        <v>237</v>
      </c>
      <c r="B2" s="64"/>
      <c r="C2" s="64"/>
      <c r="D2" s="64"/>
      <c r="E2" s="64"/>
      <c r="F2" s="64"/>
    </row>
    <row r="3" spans="1:6" x14ac:dyDescent="0.3">
      <c r="A3" s="43" t="s">
        <v>238</v>
      </c>
      <c r="B3" s="43" t="s">
        <v>239</v>
      </c>
      <c r="C3" s="43" t="s">
        <v>180</v>
      </c>
      <c r="D3" s="43" t="s">
        <v>152</v>
      </c>
      <c r="E3" s="43" t="s">
        <v>240</v>
      </c>
      <c r="F3" s="43" t="s">
        <v>241</v>
      </c>
    </row>
    <row r="4" spans="1:6" x14ac:dyDescent="0.3">
      <c r="A4" s="65" t="s">
        <v>242</v>
      </c>
      <c r="B4" s="65"/>
      <c r="C4" s="65"/>
      <c r="D4" s="65"/>
      <c r="E4" s="65"/>
      <c r="F4" s="65"/>
    </row>
    <row r="5" spans="1:6" x14ac:dyDescent="0.3">
      <c r="A5" t="s">
        <v>8</v>
      </c>
      <c r="B5" t="s">
        <v>243</v>
      </c>
      <c r="C5" t="s">
        <v>189</v>
      </c>
      <c r="D5" t="s">
        <v>157</v>
      </c>
      <c r="E5" s="44">
        <f>AVERAGE('1. Demografía'!J71:J84)</f>
        <v>487.40000000000003</v>
      </c>
      <c r="F5" s="44">
        <f>_xlfn.STDEV.P('1. Demografía'!J71:J84)</f>
        <v>9.6367125396282614</v>
      </c>
    </row>
    <row r="6" spans="1:6" x14ac:dyDescent="0.3">
      <c r="A6" t="s">
        <v>9</v>
      </c>
      <c r="B6" t="s">
        <v>243</v>
      </c>
      <c r="C6" t="s">
        <v>191</v>
      </c>
      <c r="D6" t="s">
        <v>157</v>
      </c>
      <c r="E6" s="45">
        <f>AVERAGE('1. Demografía'!K71:K84)</f>
        <v>1.1000714285714286</v>
      </c>
      <c r="F6" s="45">
        <f>_xlfn.STDEV.P('1. Demografía'!K71:K84)</f>
        <v>4.8177446243347258E-2</v>
      </c>
    </row>
    <row r="7" spans="1:6" x14ac:dyDescent="0.3">
      <c r="A7" t="s">
        <v>287</v>
      </c>
      <c r="B7" t="s">
        <v>243</v>
      </c>
      <c r="C7" t="s">
        <v>192</v>
      </c>
      <c r="D7" t="s">
        <v>157</v>
      </c>
      <c r="E7" s="45">
        <f>AVERAGE('1. Demografía'!L71:L84)</f>
        <v>0.11009285714285717</v>
      </c>
      <c r="F7" s="45">
        <f>_xlfn.STDEV.P('1. Demografía'!L71:L84)</f>
        <v>4.8177446243347251E-3</v>
      </c>
    </row>
    <row r="8" spans="1:6" x14ac:dyDescent="0.3">
      <c r="A8" t="s">
        <v>195</v>
      </c>
      <c r="B8" t="s">
        <v>244</v>
      </c>
      <c r="C8" t="s">
        <v>194</v>
      </c>
      <c r="D8" t="s">
        <v>157</v>
      </c>
      <c r="E8" s="46">
        <f>AVERAGE('1. Demografía'!O71:O84)</f>
        <v>270</v>
      </c>
      <c r="F8" s="44">
        <f>_xlfn.STDEV.P('1. Demografía'!O71:O84)</f>
        <v>9.6510547166025926</v>
      </c>
    </row>
    <row r="9" spans="1:6" x14ac:dyDescent="0.3">
      <c r="A9" t="s">
        <v>245</v>
      </c>
      <c r="B9" t="s">
        <v>246</v>
      </c>
      <c r="C9" t="s">
        <v>220</v>
      </c>
      <c r="D9" t="s">
        <v>162</v>
      </c>
      <c r="E9" s="46">
        <f>AVERAGE('1. Demografía'!P71:P84)</f>
        <v>21</v>
      </c>
      <c r="F9" s="47" t="s">
        <v>247</v>
      </c>
    </row>
    <row r="10" spans="1:6" x14ac:dyDescent="0.3">
      <c r="A10" t="s">
        <v>248</v>
      </c>
      <c r="B10" t="s">
        <v>249</v>
      </c>
      <c r="C10" t="s">
        <v>250</v>
      </c>
      <c r="D10" t="s">
        <v>157</v>
      </c>
      <c r="E10">
        <v>12</v>
      </c>
      <c r="F10">
        <v>2.5</v>
      </c>
    </row>
    <row r="11" spans="1:6" x14ac:dyDescent="0.3">
      <c r="A11" t="s">
        <v>251</v>
      </c>
      <c r="B11" t="s">
        <v>249</v>
      </c>
      <c r="C11" t="s">
        <v>252</v>
      </c>
      <c r="D11" t="s">
        <v>162</v>
      </c>
      <c r="E11">
        <v>50</v>
      </c>
      <c r="F11" s="47" t="s">
        <v>247</v>
      </c>
    </row>
    <row r="12" spans="1:6" x14ac:dyDescent="0.3">
      <c r="A12" s="64"/>
      <c r="B12" s="64"/>
      <c r="C12" s="64"/>
      <c r="D12" s="64"/>
      <c r="E12" s="64"/>
      <c r="F12" s="64"/>
    </row>
    <row r="13" spans="1:6" x14ac:dyDescent="0.3">
      <c r="A13" s="65" t="s">
        <v>253</v>
      </c>
      <c r="B13" s="65"/>
      <c r="C13" s="65"/>
      <c r="D13" s="65"/>
      <c r="E13" s="65"/>
      <c r="F13" s="65"/>
    </row>
    <row r="14" spans="1:6" x14ac:dyDescent="0.3">
      <c r="A14" t="s">
        <v>198</v>
      </c>
      <c r="B14" t="s">
        <v>186</v>
      </c>
      <c r="C14" t="s">
        <v>197</v>
      </c>
      <c r="D14" t="s">
        <v>254</v>
      </c>
      <c r="E14">
        <f>COUNT('1. Demografía'!A2:A69)</f>
        <v>68</v>
      </c>
      <c r="F14" s="47" t="s">
        <v>247</v>
      </c>
    </row>
    <row r="15" spans="1:6" x14ac:dyDescent="0.3">
      <c r="A15" t="s">
        <v>255</v>
      </c>
      <c r="B15" t="s">
        <v>249</v>
      </c>
      <c r="C15" t="s">
        <v>256</v>
      </c>
      <c r="D15" t="s">
        <v>157</v>
      </c>
      <c r="E15">
        <v>18</v>
      </c>
      <c r="F15">
        <v>2</v>
      </c>
    </row>
    <row r="16" spans="1:6" x14ac:dyDescent="0.3">
      <c r="A16" t="s">
        <v>257</v>
      </c>
      <c r="B16" t="s">
        <v>249</v>
      </c>
      <c r="C16" t="s">
        <v>258</v>
      </c>
      <c r="D16" t="s">
        <v>157</v>
      </c>
      <c r="E16">
        <v>2</v>
      </c>
      <c r="F16">
        <v>0.5</v>
      </c>
    </row>
    <row r="17" spans="1:8" x14ac:dyDescent="0.3">
      <c r="A17" t="s">
        <v>259</v>
      </c>
      <c r="B17" t="s">
        <v>246</v>
      </c>
      <c r="C17" t="s">
        <v>260</v>
      </c>
      <c r="D17" t="s">
        <v>261</v>
      </c>
      <c r="E17" s="46">
        <f>AVERAGE('3. Reproducción'!G2:G69)</f>
        <v>138</v>
      </c>
      <c r="F17" s="44">
        <f>_xlfn.STDEV.P('3. Reproducción'!G2:G69)</f>
        <v>24.800972466702142</v>
      </c>
    </row>
    <row r="18" spans="1:8" x14ac:dyDescent="0.3">
      <c r="A18" t="s">
        <v>262</v>
      </c>
      <c r="B18" t="s">
        <v>246</v>
      </c>
      <c r="C18" t="s">
        <v>263</v>
      </c>
      <c r="D18" t="s">
        <v>157</v>
      </c>
      <c r="E18" s="46">
        <f>AVERAGE('3. Reproducción'!I2:I69)</f>
        <v>282</v>
      </c>
      <c r="F18" s="44">
        <f>_xlfn.STDEV.P('3. Reproducción'!I2:I69)</f>
        <v>2.995094027788463</v>
      </c>
    </row>
    <row r="19" spans="1:8" x14ac:dyDescent="0.3">
      <c r="A19" t="s">
        <v>264</v>
      </c>
      <c r="B19" t="s">
        <v>249</v>
      </c>
      <c r="C19" t="s">
        <v>265</v>
      </c>
      <c r="D19" t="s">
        <v>157</v>
      </c>
      <c r="E19">
        <v>48</v>
      </c>
      <c r="F19">
        <v>1</v>
      </c>
    </row>
    <row r="20" spans="1:8" x14ac:dyDescent="0.3">
      <c r="A20" t="s">
        <v>111</v>
      </c>
      <c r="B20" t="s">
        <v>243</v>
      </c>
      <c r="C20" t="s">
        <v>201</v>
      </c>
      <c r="D20" t="s">
        <v>157</v>
      </c>
      <c r="E20" s="48">
        <f>AVERAGE('2. Producción'!I2:I69)</f>
        <v>18.849985294117651</v>
      </c>
      <c r="F20" s="48">
        <f>_xlfn.STDEV.P('2. Producción'!I2:I69)</f>
        <v>4.4667773897725951</v>
      </c>
    </row>
    <row r="21" spans="1:8" x14ac:dyDescent="0.3">
      <c r="A21" t="s">
        <v>112</v>
      </c>
      <c r="B21" t="s">
        <v>243</v>
      </c>
      <c r="C21" t="s">
        <v>202</v>
      </c>
      <c r="D21" t="s">
        <v>157</v>
      </c>
      <c r="E21" s="45">
        <f>AVERAGE('2. Producción'!J2:J69)</f>
        <v>0.13199970588235294</v>
      </c>
      <c r="F21" s="49">
        <f>_xlfn.STDEV.P('2. Producción'!J2:J69)</f>
        <v>5.0030916825581995E-3</v>
      </c>
    </row>
    <row r="22" spans="1:8" x14ac:dyDescent="0.3">
      <c r="A22" t="s">
        <v>113</v>
      </c>
      <c r="B22" t="s">
        <v>243</v>
      </c>
      <c r="C22" t="s">
        <v>203</v>
      </c>
      <c r="D22" t="s">
        <v>157</v>
      </c>
      <c r="E22" s="45">
        <f>AVERAGE('2. Producción'!K2:K69)</f>
        <v>3.4000294117647066E-2</v>
      </c>
      <c r="F22" s="49">
        <f>_xlfn.STDEV.P('2. Producción'!K2:K69)</f>
        <v>7.6417000454594554E-4</v>
      </c>
      <c r="H22" s="45"/>
    </row>
    <row r="23" spans="1:8" x14ac:dyDescent="0.3">
      <c r="A23" t="s">
        <v>205</v>
      </c>
      <c r="B23" t="s">
        <v>246</v>
      </c>
      <c r="C23" t="s">
        <v>204</v>
      </c>
      <c r="D23" t="s">
        <v>157</v>
      </c>
      <c r="E23" s="46">
        <f>AVERAGE('2. Producción'!E2:E69)</f>
        <v>305</v>
      </c>
      <c r="F23" s="48">
        <f>_xlfn.STDEV.P('2. Producción'!E2:E69)</f>
        <v>39.723307723181719</v>
      </c>
    </row>
    <row r="24" spans="1:8" x14ac:dyDescent="0.3">
      <c r="A24" t="s">
        <v>209</v>
      </c>
      <c r="B24" t="s">
        <v>249</v>
      </c>
      <c r="C24" t="s">
        <v>208</v>
      </c>
      <c r="D24" t="s">
        <v>157</v>
      </c>
      <c r="E24" s="48">
        <f>AVERAGE('2. Producción'!M2:M69)</f>
        <v>4.3202941176470571</v>
      </c>
      <c r="F24" s="50">
        <f>_xlfn.STDEV.P('2. Producción'!M2:M69)</f>
        <v>0.64498967294113252</v>
      </c>
    </row>
    <row r="25" spans="1:8" x14ac:dyDescent="0.3">
      <c r="A25" t="s">
        <v>211</v>
      </c>
      <c r="B25" t="s">
        <v>249</v>
      </c>
      <c r="C25" t="s">
        <v>210</v>
      </c>
      <c r="D25" t="s">
        <v>157</v>
      </c>
      <c r="E25" s="48">
        <f>AVERAGE('2. Producción'!N2:N69)</f>
        <v>3.5004411764705874</v>
      </c>
      <c r="F25" s="50">
        <f>_xlfn.STDEV.P('2. Producción'!N2:N69)</f>
        <v>0.27797817214099957</v>
      </c>
    </row>
    <row r="26" spans="1:8" x14ac:dyDescent="0.3">
      <c r="A26" t="s">
        <v>213</v>
      </c>
      <c r="B26" t="s">
        <v>249</v>
      </c>
      <c r="C26" t="s">
        <v>212</v>
      </c>
      <c r="D26" t="s">
        <v>173</v>
      </c>
      <c r="E26" s="48">
        <f>AVERAGE('2. Producción'!O2:O69)</f>
        <v>5.449999999999994</v>
      </c>
      <c r="F26" s="47" t="s">
        <v>247</v>
      </c>
    </row>
    <row r="27" spans="1:8" x14ac:dyDescent="0.3">
      <c r="A27" t="s">
        <v>225</v>
      </c>
      <c r="B27" t="s">
        <v>249</v>
      </c>
      <c r="C27" t="s">
        <v>224</v>
      </c>
      <c r="D27" t="s">
        <v>157</v>
      </c>
      <c r="E27">
        <v>15</v>
      </c>
      <c r="F27">
        <v>3</v>
      </c>
    </row>
    <row r="28" spans="1:8" x14ac:dyDescent="0.3">
      <c r="A28" t="s">
        <v>266</v>
      </c>
      <c r="B28" t="s">
        <v>246</v>
      </c>
      <c r="C28" t="s">
        <v>267</v>
      </c>
      <c r="D28" t="s">
        <v>165</v>
      </c>
      <c r="E28" s="44">
        <f>AVERAGE('4. Salud y Mastitis'!E2:E9)</f>
        <v>96.75</v>
      </c>
      <c r="F28" s="47" t="s">
        <v>247</v>
      </c>
    </row>
    <row r="29" spans="1:8" x14ac:dyDescent="0.3">
      <c r="A29" s="64"/>
      <c r="B29" s="64"/>
      <c r="C29" s="64"/>
      <c r="D29" s="64"/>
      <c r="E29" s="64"/>
      <c r="F29" s="64"/>
    </row>
    <row r="30" spans="1:8" x14ac:dyDescent="0.3">
      <c r="A30" s="65" t="s">
        <v>268</v>
      </c>
      <c r="B30" s="65"/>
      <c r="C30" s="65"/>
      <c r="D30" s="65"/>
      <c r="E30" s="65"/>
      <c r="F30" s="65"/>
    </row>
    <row r="31" spans="1:8" x14ac:dyDescent="0.3">
      <c r="A31" t="s">
        <v>269</v>
      </c>
      <c r="B31" t="s">
        <v>270</v>
      </c>
      <c r="C31" t="s">
        <v>271</v>
      </c>
      <c r="D31" t="s">
        <v>157</v>
      </c>
      <c r="E31">
        <v>42300</v>
      </c>
      <c r="F31" s="44">
        <v>95.44</v>
      </c>
    </row>
    <row r="32" spans="1:8" x14ac:dyDescent="0.3">
      <c r="A32" t="s">
        <v>272</v>
      </c>
      <c r="B32" t="s">
        <v>270</v>
      </c>
      <c r="C32" t="s">
        <v>273</v>
      </c>
      <c r="D32" t="s">
        <v>157</v>
      </c>
      <c r="E32">
        <v>15000</v>
      </c>
      <c r="F32">
        <v>73</v>
      </c>
    </row>
    <row r="33" spans="1:6" x14ac:dyDescent="0.3">
      <c r="A33" t="s">
        <v>274</v>
      </c>
      <c r="B33" t="s">
        <v>270</v>
      </c>
      <c r="C33" t="s">
        <v>275</v>
      </c>
      <c r="D33" t="s">
        <v>157</v>
      </c>
      <c r="E33">
        <v>20000</v>
      </c>
      <c r="F33">
        <v>73</v>
      </c>
    </row>
    <row r="34" spans="1:6" x14ac:dyDescent="0.3">
      <c r="A34" t="s">
        <v>276</v>
      </c>
      <c r="B34" t="s">
        <v>277</v>
      </c>
      <c r="C34" t="s">
        <v>278</v>
      </c>
      <c r="D34" t="s">
        <v>157</v>
      </c>
      <c r="E34">
        <v>3700000</v>
      </c>
      <c r="F34">
        <v>180000</v>
      </c>
    </row>
    <row r="35" spans="1:6" x14ac:dyDescent="0.3">
      <c r="A35" t="s">
        <v>279</v>
      </c>
      <c r="B35" t="s">
        <v>270</v>
      </c>
      <c r="C35" t="s">
        <v>280</v>
      </c>
      <c r="D35" t="s">
        <v>157</v>
      </c>
      <c r="E35">
        <v>2025</v>
      </c>
      <c r="F35">
        <v>73</v>
      </c>
    </row>
    <row r="36" spans="1:6" x14ac:dyDescent="0.3">
      <c r="A36" t="s">
        <v>281</v>
      </c>
      <c r="B36" t="s">
        <v>277</v>
      </c>
      <c r="C36" t="s">
        <v>282</v>
      </c>
      <c r="D36" t="s">
        <v>157</v>
      </c>
      <c r="E36">
        <v>2270000</v>
      </c>
      <c r="F36">
        <v>220000</v>
      </c>
    </row>
    <row r="37" spans="1:6" x14ac:dyDescent="0.3">
      <c r="A37" t="s">
        <v>283</v>
      </c>
      <c r="B37" t="s">
        <v>277</v>
      </c>
      <c r="C37" t="s">
        <v>284</v>
      </c>
      <c r="D37" t="s">
        <v>157</v>
      </c>
      <c r="E37">
        <v>1500000</v>
      </c>
      <c r="F37">
        <v>110000</v>
      </c>
    </row>
    <row r="38" spans="1:6" x14ac:dyDescent="0.3">
      <c r="A38" t="s">
        <v>285</v>
      </c>
      <c r="B38" t="s">
        <v>277</v>
      </c>
      <c r="C38" t="s">
        <v>286</v>
      </c>
      <c r="D38" t="s">
        <v>254</v>
      </c>
      <c r="E38">
        <v>18000000</v>
      </c>
      <c r="F38" s="47" t="s">
        <v>247</v>
      </c>
    </row>
  </sheetData>
  <mergeCells count="7">
    <mergeCell ref="A30:F30"/>
    <mergeCell ref="A1:F1"/>
    <mergeCell ref="A2:F2"/>
    <mergeCell ref="A4:F4"/>
    <mergeCell ref="A12:F12"/>
    <mergeCell ref="A13:F13"/>
    <mergeCell ref="A29:F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2DFA-C452-48B5-A3B4-72D44233C379}">
  <dimension ref="A1:H28"/>
  <sheetViews>
    <sheetView zoomScale="98" zoomScaleNormal="98" workbookViewId="0">
      <selection activeCell="D37" sqref="D37"/>
    </sheetView>
  </sheetViews>
  <sheetFormatPr baseColWidth="10" defaultRowHeight="14.4" x14ac:dyDescent="0.3"/>
  <cols>
    <col min="1" max="1" width="27.44140625" customWidth="1"/>
    <col min="2" max="2" width="10.5546875" customWidth="1"/>
    <col min="3" max="3" width="10.77734375" customWidth="1"/>
    <col min="4" max="4" width="61.109375" customWidth="1"/>
    <col min="5" max="5" width="14.33203125" customWidth="1"/>
    <col min="6" max="6" width="12.6640625" customWidth="1"/>
    <col min="8" max="8" width="18.109375" bestFit="1" customWidth="1"/>
  </cols>
  <sheetData>
    <row r="1" spans="1:6" x14ac:dyDescent="0.3">
      <c r="A1" s="63" t="s">
        <v>236</v>
      </c>
      <c r="B1" s="63"/>
      <c r="C1" s="63"/>
      <c r="D1" s="63"/>
      <c r="E1" s="63"/>
      <c r="F1" s="63"/>
    </row>
    <row r="2" spans="1:6" x14ac:dyDescent="0.3">
      <c r="A2" s="64" t="s">
        <v>288</v>
      </c>
      <c r="B2" s="64"/>
      <c r="C2" s="64"/>
      <c r="D2" s="64"/>
      <c r="E2" s="64"/>
      <c r="F2" s="64"/>
    </row>
    <row r="3" spans="1:6" x14ac:dyDescent="0.3">
      <c r="A3" s="43" t="s">
        <v>238</v>
      </c>
      <c r="B3" s="43" t="s">
        <v>239</v>
      </c>
      <c r="C3" s="43" t="s">
        <v>180</v>
      </c>
      <c r="D3" s="43" t="s">
        <v>289</v>
      </c>
      <c r="E3" s="43" t="s">
        <v>290</v>
      </c>
      <c r="F3" s="43" t="s">
        <v>291</v>
      </c>
    </row>
    <row r="4" spans="1:6" x14ac:dyDescent="0.3">
      <c r="A4" t="s">
        <v>292</v>
      </c>
      <c r="B4" t="s">
        <v>186</v>
      </c>
      <c r="C4" t="s">
        <v>293</v>
      </c>
      <c r="D4" t="s">
        <v>294</v>
      </c>
      <c r="E4" s="50">
        <f>'Parámetros base'!E14*(1-'Parámetros base'!E15/100)-'Parámetros base'!E14*'Parámetros base'!E16/100</f>
        <v>54.400000000000006</v>
      </c>
    </row>
    <row r="5" spans="1:6" x14ac:dyDescent="0.3">
      <c r="A5" t="s">
        <v>295</v>
      </c>
      <c r="B5" t="s">
        <v>186</v>
      </c>
      <c r="C5" t="s">
        <v>296</v>
      </c>
      <c r="D5" t="s">
        <v>297</v>
      </c>
      <c r="E5" s="50">
        <f>E4*0.5*(1-'Parámetros base'!E10/100)*24/'Variables salida'!E13</f>
        <v>23.218423933934385</v>
      </c>
    </row>
    <row r="6" spans="1:6" x14ac:dyDescent="0.3">
      <c r="A6" t="s">
        <v>298</v>
      </c>
      <c r="B6" t="s">
        <v>186</v>
      </c>
      <c r="C6" t="s">
        <v>299</v>
      </c>
      <c r="D6" t="s">
        <v>300</v>
      </c>
      <c r="E6" s="50">
        <f>'Parámetros base'!E14*(('Parámetros base'!E15+'Parámetros base'!E16)/100)</f>
        <v>13.600000000000001</v>
      </c>
    </row>
    <row r="7" spans="1:6" x14ac:dyDescent="0.3">
      <c r="A7" t="s">
        <v>301</v>
      </c>
      <c r="B7" t="s">
        <v>186</v>
      </c>
      <c r="C7" t="s">
        <v>302</v>
      </c>
      <c r="D7" t="s">
        <v>303</v>
      </c>
      <c r="E7" s="50">
        <f>IF(E8&gt;0,E8-E9,0)</f>
        <v>4.809211966967192</v>
      </c>
    </row>
    <row r="8" spans="1:6" x14ac:dyDescent="0.3">
      <c r="A8" t="s">
        <v>304</v>
      </c>
      <c r="B8" t="s">
        <v>186</v>
      </c>
      <c r="C8" t="s">
        <v>305</v>
      </c>
      <c r="D8" t="s">
        <v>306</v>
      </c>
      <c r="E8" s="50">
        <f>IF(E5&gt;E6,E5-E6,0)</f>
        <v>9.618423933934384</v>
      </c>
    </row>
    <row r="9" spans="1:6" x14ac:dyDescent="0.3">
      <c r="A9" t="s">
        <v>307</v>
      </c>
      <c r="B9" t="s">
        <v>186</v>
      </c>
      <c r="C9" t="s">
        <v>308</v>
      </c>
      <c r="D9" t="s">
        <v>309</v>
      </c>
      <c r="E9" s="50">
        <f>E8*'Parámetros base'!E11/100</f>
        <v>4.809211966967192</v>
      </c>
    </row>
    <row r="10" spans="1:6" x14ac:dyDescent="0.3">
      <c r="A10" t="s">
        <v>310</v>
      </c>
      <c r="B10" t="s">
        <v>249</v>
      </c>
      <c r="C10" t="s">
        <v>311</v>
      </c>
      <c r="D10" t="s">
        <v>312</v>
      </c>
      <c r="E10" s="50">
        <f>E5/'Parámetros base'!E14*100</f>
        <v>34.144741079315274</v>
      </c>
    </row>
    <row r="11" spans="1:6" x14ac:dyDescent="0.3">
      <c r="A11" t="s">
        <v>313</v>
      </c>
      <c r="B11" t="s">
        <v>314</v>
      </c>
      <c r="C11" t="s">
        <v>315</v>
      </c>
      <c r="D11" t="s">
        <v>316</v>
      </c>
      <c r="E11" s="50">
        <f>(LN(LN('Parámetros base'!E8/'Parámetros base'!E5)/-1)-'Parámetros base'!E6)/(-1*'Parámetros base'!E7)</f>
        <v>14.77462577054955</v>
      </c>
    </row>
    <row r="12" spans="1:6" x14ac:dyDescent="0.3">
      <c r="A12" t="s">
        <v>317</v>
      </c>
      <c r="B12" t="s">
        <v>318</v>
      </c>
      <c r="C12" t="s">
        <v>319</v>
      </c>
      <c r="D12" t="s">
        <v>320</v>
      </c>
      <c r="E12" s="45">
        <f>('Parámetros base'!E8-32)/('Variables salida'!E11*30.4)</f>
        <v>0.52989141586425792</v>
      </c>
    </row>
    <row r="13" spans="1:6" x14ac:dyDescent="0.3">
      <c r="A13" t="s">
        <v>321</v>
      </c>
      <c r="B13" t="s">
        <v>314</v>
      </c>
      <c r="C13" t="s">
        <v>322</v>
      </c>
      <c r="D13" t="s">
        <v>323</v>
      </c>
      <c r="E13" s="50">
        <f>E11+('Parámetros base'!E9+'Parámetros base'!E18)/30.4</f>
        <v>24.741731033707445</v>
      </c>
    </row>
    <row r="14" spans="1:6" x14ac:dyDescent="0.3">
      <c r="A14" t="s">
        <v>324</v>
      </c>
      <c r="B14" t="s">
        <v>314</v>
      </c>
      <c r="C14" t="s">
        <v>325</v>
      </c>
      <c r="D14" t="s">
        <v>326</v>
      </c>
      <c r="E14" s="50">
        <f>100/E10*12</f>
        <v>35.144504309243523</v>
      </c>
    </row>
    <row r="15" spans="1:6" x14ac:dyDescent="0.3">
      <c r="A15" t="s">
        <v>327</v>
      </c>
      <c r="B15" t="s">
        <v>328</v>
      </c>
      <c r="C15" t="s">
        <v>329</v>
      </c>
      <c r="D15" t="s">
        <v>330</v>
      </c>
      <c r="E15" s="50">
        <f>SUM('Curva '!F2:F306)/('Parámetros base'!E17+'Parámetros base'!E18)*365</f>
        <v>4663.5025319225642</v>
      </c>
    </row>
    <row r="16" spans="1:6" x14ac:dyDescent="0.3">
      <c r="A16" t="s">
        <v>331</v>
      </c>
      <c r="B16" t="s">
        <v>332</v>
      </c>
      <c r="C16" t="s">
        <v>333</v>
      </c>
      <c r="D16" t="s">
        <v>334</v>
      </c>
      <c r="E16" s="50">
        <f>('Parámetros base'!E20*('Parámetros base'!E21/('Parámetros base'!E22/7))^'Parámetros base'!E21*EXP(-('Parámetros base'!E22/7)*('Parámetros base'!E21/('Parámetros base'!E22/7))))</f>
        <v>25.544459014353183</v>
      </c>
    </row>
    <row r="17" spans="1:8" x14ac:dyDescent="0.3">
      <c r="A17" t="s">
        <v>335</v>
      </c>
      <c r="B17" t="s">
        <v>246</v>
      </c>
      <c r="C17" t="s">
        <v>336</v>
      </c>
      <c r="D17" t="s">
        <v>337</v>
      </c>
      <c r="E17" s="50">
        <f>('Parámetros base'!E18+'Parámetros base'!E17)-'Parámetros base'!E23</f>
        <v>115</v>
      </c>
    </row>
    <row r="18" spans="1:8" x14ac:dyDescent="0.3">
      <c r="A18" t="s">
        <v>338</v>
      </c>
      <c r="B18" t="s">
        <v>328</v>
      </c>
      <c r="C18" t="s">
        <v>339</v>
      </c>
      <c r="D18" t="s">
        <v>340</v>
      </c>
      <c r="E18" s="50">
        <f>(SUM('Curva '!G2:G306)/('Parámetros base'!E17+'Parámetros base'!E18)*365)*('Parámetros base'!E27/100*'Variables salida'!E4)/'Variables salida'!E4</f>
        <v>66.38809238982283</v>
      </c>
    </row>
    <row r="19" spans="1:8" x14ac:dyDescent="0.3">
      <c r="A19" t="s">
        <v>341</v>
      </c>
      <c r="B19" t="s">
        <v>328</v>
      </c>
      <c r="C19" t="s">
        <v>342</v>
      </c>
      <c r="D19" t="s">
        <v>343</v>
      </c>
      <c r="E19" s="50">
        <f>E15-E18</f>
        <v>4597.114439532741</v>
      </c>
    </row>
    <row r="20" spans="1:8" x14ac:dyDescent="0.3">
      <c r="A20" t="s">
        <v>344</v>
      </c>
      <c r="B20" t="s">
        <v>328</v>
      </c>
      <c r="C20" t="s">
        <v>345</v>
      </c>
      <c r="D20" t="s">
        <v>346</v>
      </c>
      <c r="E20" s="50">
        <f>(SUM('Curva '!H2:H306)/('Parámetros base'!E17+'Parámetros base'!E18)*365)-('Variables salida'!E18*'Parámetros base'!E24/100)</f>
        <v>198.60886471263635</v>
      </c>
    </row>
    <row r="21" spans="1:8" x14ac:dyDescent="0.3">
      <c r="A21" t="s">
        <v>347</v>
      </c>
      <c r="B21" t="s">
        <v>328</v>
      </c>
      <c r="C21" t="s">
        <v>348</v>
      </c>
      <c r="D21" t="s">
        <v>349</v>
      </c>
      <c r="E21" s="50">
        <f>(SUM('Curva '!I2:I306)/('Parámetros base'!E17+'Parámetros base'!E18)*365)-('Variables salida'!E18*'Parámetros base'!E25/100)</f>
        <v>160.91928677087927</v>
      </c>
    </row>
    <row r="22" spans="1:8" x14ac:dyDescent="0.3">
      <c r="A22" t="s">
        <v>350</v>
      </c>
      <c r="B22" t="s">
        <v>328</v>
      </c>
      <c r="C22" t="s">
        <v>351</v>
      </c>
      <c r="D22" t="s">
        <v>385</v>
      </c>
      <c r="E22" s="50">
        <f>((E15*'Parámetros base'!E26/100)/('Parámetros base'!E17+'Parámetros base'!E18)*365)-('Variables salida'!E18*'Parámetros base'!E26/100)</f>
        <v>217.25976352730109</v>
      </c>
    </row>
    <row r="23" spans="1:8" x14ac:dyDescent="0.3">
      <c r="A23" t="s">
        <v>352</v>
      </c>
      <c r="B23" t="s">
        <v>353</v>
      </c>
      <c r="C23" t="s">
        <v>354</v>
      </c>
      <c r="D23" t="s">
        <v>355</v>
      </c>
      <c r="E23" s="50">
        <f>(E20+E21+E22)*E4</f>
        <v>31377.262576588433</v>
      </c>
    </row>
    <row r="24" spans="1:8" x14ac:dyDescent="0.3">
      <c r="A24" t="s">
        <v>356</v>
      </c>
      <c r="B24" t="s">
        <v>353</v>
      </c>
      <c r="C24" t="s">
        <v>357</v>
      </c>
      <c r="D24" t="s">
        <v>386</v>
      </c>
      <c r="E24" s="50">
        <f>('Parámetros base'!E5*'Parámetros base'!E19/100)*('Variables salida'!E8-'Variables salida'!E9)</f>
        <v>1125.1247580959084</v>
      </c>
    </row>
    <row r="25" spans="1:8" x14ac:dyDescent="0.3">
      <c r="A25" t="s">
        <v>358</v>
      </c>
      <c r="B25" t="s">
        <v>353</v>
      </c>
      <c r="C25" t="s">
        <v>359</v>
      </c>
      <c r="D25" t="s">
        <v>360</v>
      </c>
      <c r="E25" s="50">
        <f>(SUM('Curva '!J2:J306)/('Parámetros base'!E17+'Parámetros base'!E18)*365)*'Variables salida'!E4</f>
        <v>98612.215488499496</v>
      </c>
      <c r="F25" s="50"/>
    </row>
    <row r="26" spans="1:8" x14ac:dyDescent="0.3">
      <c r="A26" t="s">
        <v>395</v>
      </c>
      <c r="B26" t="s">
        <v>361</v>
      </c>
      <c r="C26" t="s">
        <v>362</v>
      </c>
      <c r="D26" t="s">
        <v>363</v>
      </c>
      <c r="E26" s="50">
        <f>(E20+E21)*E4*'Parámetros base'!E31+'Variables salida'!E22*'Parámetros base'!E32*'Variables salida'!E4+('Variables salida'!E8-'Variables salida'!E9)*'Variables salida'!E24*'Parámetros base'!E33+'Variables salida'!E9*'Parámetros base'!E34</f>
        <v>1130614740.277122</v>
      </c>
      <c r="H26" s="62">
        <f>E26</f>
        <v>1130614740.277122</v>
      </c>
    </row>
    <row r="27" spans="1:8" x14ac:dyDescent="0.3">
      <c r="A27" t="s">
        <v>396</v>
      </c>
      <c r="B27" t="s">
        <v>361</v>
      </c>
      <c r="C27" t="s">
        <v>364</v>
      </c>
      <c r="D27" t="s">
        <v>365</v>
      </c>
      <c r="E27">
        <f>('Parámetros base'!E35*('Variables salida'!E25+'Variables salida'!E25/3))+('Variables salida'!E4*'Parámetros base'!E37)+('Variables salida'!E5*'Parámetros base'!E36)+'Parámetros base'!E38</f>
        <v>418558804.14897972</v>
      </c>
      <c r="H27" s="62">
        <f>E27</f>
        <v>418558804.14897972</v>
      </c>
    </row>
    <row r="28" spans="1:8" x14ac:dyDescent="0.3">
      <c r="A28" t="s">
        <v>397</v>
      </c>
      <c r="B28" t="s">
        <v>361</v>
      </c>
      <c r="C28" t="s">
        <v>366</v>
      </c>
      <c r="D28" t="s">
        <v>367</v>
      </c>
      <c r="E28" s="50">
        <f>E26-E27</f>
        <v>712055936.12814236</v>
      </c>
      <c r="H28" s="62">
        <f>E28</f>
        <v>712055936.12814236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7622-8437-4E7E-A20E-D88362904A0A}">
  <dimension ref="A1:J306"/>
  <sheetViews>
    <sheetView tabSelected="1" workbookViewId="0">
      <selection activeCell="A2" sqref="A2"/>
    </sheetView>
  </sheetViews>
  <sheetFormatPr baseColWidth="10" defaultRowHeight="14.4" x14ac:dyDescent="0.3"/>
  <cols>
    <col min="5" max="6" width="11.5546875" style="2"/>
    <col min="7" max="7" width="15" style="2" customWidth="1"/>
    <col min="9" max="9" width="13.5546875" customWidth="1"/>
    <col min="10" max="10" width="14.21875" customWidth="1"/>
  </cols>
  <sheetData>
    <row r="1" spans="1:10" ht="28.8" x14ac:dyDescent="0.3">
      <c r="A1" s="67" t="s">
        <v>398</v>
      </c>
      <c r="B1" s="67"/>
      <c r="C1" s="67"/>
      <c r="D1" s="67"/>
      <c r="E1" s="56" t="s">
        <v>368</v>
      </c>
      <c r="F1" s="56" t="s">
        <v>369</v>
      </c>
      <c r="G1" s="55" t="s">
        <v>383</v>
      </c>
      <c r="H1" s="56" t="s">
        <v>382</v>
      </c>
      <c r="I1" s="56" t="s">
        <v>384</v>
      </c>
      <c r="J1" s="61" t="s">
        <v>387</v>
      </c>
    </row>
    <row r="2" spans="1:10" x14ac:dyDescent="0.3">
      <c r="A2" t="s">
        <v>373</v>
      </c>
      <c r="E2" s="2">
        <v>1</v>
      </c>
      <c r="F2" s="53">
        <f>$B$4*E2^$B$5*EXP(-$B$6*E2)</f>
        <v>18.758788951543519</v>
      </c>
      <c r="G2" s="53">
        <f t="shared" ref="G2:G65" si="0">F2*0%</f>
        <v>0</v>
      </c>
      <c r="H2" s="58">
        <f>F2*$B$19/100</f>
        <v>0.81043485561536077</v>
      </c>
      <c r="I2" s="58">
        <f>F2*$B$20/100</f>
        <v>0.65664037266704456</v>
      </c>
      <c r="J2" s="53">
        <f>F2/$B$24</f>
        <v>9.3793944757717593</v>
      </c>
    </row>
    <row r="3" spans="1:10" x14ac:dyDescent="0.3">
      <c r="A3" t="s">
        <v>374</v>
      </c>
      <c r="E3" s="2">
        <v>2</v>
      </c>
      <c r="F3" s="53">
        <f t="shared" ref="F3:F66" si="1">$B$4*E3^$B$5*EXP(-$B$6*E3)</f>
        <v>20.456531120756051</v>
      </c>
      <c r="G3" s="53">
        <f t="shared" si="0"/>
        <v>0</v>
      </c>
      <c r="H3" s="58">
        <f t="shared" ref="H3:H66" si="2">F3*$B$19/100</f>
        <v>0.88378231068466317</v>
      </c>
      <c r="I3" s="58">
        <f t="shared" ref="I3:I66" si="3">F3*$B$20/100</f>
        <v>0.71606883862846482</v>
      </c>
      <c r="J3" s="53">
        <f t="shared" ref="J3:J66" si="4">F3/$B$24</f>
        <v>10.228265560378025</v>
      </c>
    </row>
    <row r="4" spans="1:10" x14ac:dyDescent="0.3">
      <c r="A4" t="s">
        <v>375</v>
      </c>
      <c r="B4" s="48">
        <v>18.850126717599998</v>
      </c>
      <c r="E4" s="2">
        <v>3</v>
      </c>
      <c r="F4" s="53">
        <f t="shared" si="1"/>
        <v>21.476671592505546</v>
      </c>
      <c r="G4" s="53">
        <f t="shared" si="0"/>
        <v>0</v>
      </c>
      <c r="H4" s="58">
        <f t="shared" si="2"/>
        <v>0.92785537947739372</v>
      </c>
      <c r="I4" s="58">
        <f t="shared" si="3"/>
        <v>0.75177825575942558</v>
      </c>
      <c r="J4" s="53">
        <f t="shared" si="4"/>
        <v>10.738335796252773</v>
      </c>
    </row>
    <row r="5" spans="1:10" x14ac:dyDescent="0.3">
      <c r="A5" t="s">
        <v>376</v>
      </c>
      <c r="B5" s="45">
        <v>0.13200236143300001</v>
      </c>
      <c r="E5" s="2">
        <v>4</v>
      </c>
      <c r="F5" s="53">
        <f t="shared" si="1"/>
        <v>22.199833017766597</v>
      </c>
      <c r="G5" s="53">
        <f t="shared" si="0"/>
        <v>0</v>
      </c>
      <c r="H5" s="58">
        <f t="shared" si="2"/>
        <v>0.9590980799940394</v>
      </c>
      <c r="I5" s="58">
        <f t="shared" si="3"/>
        <v>0.77709209606161489</v>
      </c>
      <c r="J5" s="53">
        <f t="shared" si="4"/>
        <v>11.099916508883299</v>
      </c>
    </row>
    <row r="6" spans="1:10" x14ac:dyDescent="0.3">
      <c r="A6" t="s">
        <v>377</v>
      </c>
      <c r="B6" s="45">
        <v>4.8572496179699999E-3</v>
      </c>
      <c r="E6" s="2">
        <v>5</v>
      </c>
      <c r="F6" s="53">
        <f t="shared" si="1"/>
        <v>22.752681195997933</v>
      </c>
      <c r="G6" s="53">
        <f t="shared" si="0"/>
        <v>0</v>
      </c>
      <c r="H6" s="58">
        <f t="shared" si="2"/>
        <v>0.98298274731768676</v>
      </c>
      <c r="I6" s="58">
        <f t="shared" si="3"/>
        <v>0.79644422133579207</v>
      </c>
      <c r="J6" s="53">
        <f t="shared" si="4"/>
        <v>11.376340597998967</v>
      </c>
    </row>
    <row r="7" spans="1:10" x14ac:dyDescent="0.3">
      <c r="E7" s="2">
        <v>6</v>
      </c>
      <c r="F7" s="53">
        <f t="shared" si="1"/>
        <v>23.193976692505679</v>
      </c>
      <c r="G7" s="53">
        <f t="shared" si="0"/>
        <v>0</v>
      </c>
      <c r="H7" s="58">
        <f t="shared" si="2"/>
        <v>1.0020480106947522</v>
      </c>
      <c r="I7" s="58">
        <f t="shared" si="3"/>
        <v>0.81189151060545972</v>
      </c>
      <c r="J7" s="53">
        <f t="shared" si="4"/>
        <v>11.596988346252839</v>
      </c>
    </row>
    <row r="8" spans="1:10" x14ac:dyDescent="0.3">
      <c r="A8" t="s">
        <v>204</v>
      </c>
      <c r="B8" s="46">
        <v>305</v>
      </c>
      <c r="E8" s="2">
        <v>7</v>
      </c>
      <c r="F8" s="53">
        <f t="shared" si="1"/>
        <v>23.556072050709602</v>
      </c>
      <c r="G8" s="53">
        <f t="shared" si="0"/>
        <v>0</v>
      </c>
      <c r="H8" s="58">
        <f t="shared" si="2"/>
        <v>1.0176915951555094</v>
      </c>
      <c r="I8" s="58">
        <f t="shared" si="3"/>
        <v>0.82456644562211834</v>
      </c>
      <c r="J8" s="53">
        <f t="shared" si="4"/>
        <v>11.778036025354801</v>
      </c>
    </row>
    <row r="9" spans="1:10" x14ac:dyDescent="0.3">
      <c r="A9" t="s">
        <v>370</v>
      </c>
      <c r="B9" s="44">
        <f>B5/B6</f>
        <v>27.176359424609522</v>
      </c>
      <c r="E9" s="2">
        <v>8</v>
      </c>
      <c r="F9" s="53">
        <f t="shared" si="1"/>
        <v>23.858793111569419</v>
      </c>
      <c r="G9" s="53">
        <f t="shared" si="0"/>
        <v>0</v>
      </c>
      <c r="H9" s="58">
        <f t="shared" si="2"/>
        <v>1.0307700353407148</v>
      </c>
      <c r="I9" s="58">
        <f t="shared" si="3"/>
        <v>0.83516301828630402</v>
      </c>
      <c r="J9" s="53">
        <f t="shared" si="4"/>
        <v>11.929396555784709</v>
      </c>
    </row>
    <row r="10" spans="1:10" x14ac:dyDescent="0.3">
      <c r="A10" t="s">
        <v>371</v>
      </c>
      <c r="B10" s="48">
        <f>B4*((B5/B6)^B5)*EXP(-B5)</f>
        <v>25.544829733324903</v>
      </c>
      <c r="E10" s="2">
        <v>9</v>
      </c>
      <c r="F10" s="53">
        <f t="shared" si="1"/>
        <v>24.115221111807124</v>
      </c>
      <c r="G10" s="53">
        <f t="shared" si="0"/>
        <v>0</v>
      </c>
      <c r="H10" s="58">
        <f t="shared" si="2"/>
        <v>1.0418484791509846</v>
      </c>
      <c r="I10" s="58">
        <f t="shared" si="3"/>
        <v>0.84413912959462478</v>
      </c>
      <c r="J10" s="53">
        <f t="shared" si="4"/>
        <v>12.057610555903562</v>
      </c>
    </row>
    <row r="11" spans="1:10" x14ac:dyDescent="0.3">
      <c r="A11" t="s">
        <v>372</v>
      </c>
      <c r="B11" s="44" cm="1">
        <f t="array" ref="B11">SUM(B4*(_xlfn.SEQUENCE(B8)^B5)*EXP(-B6*_xlfn.SEQUENCE(B8)))</f>
        <v>5366.2220915273347</v>
      </c>
      <c r="E11" s="2">
        <v>10</v>
      </c>
      <c r="F11" s="53">
        <f t="shared" si="1"/>
        <v>24.334468687603103</v>
      </c>
      <c r="G11" s="53">
        <f t="shared" si="0"/>
        <v>0</v>
      </c>
      <c r="H11" s="58">
        <f t="shared" si="2"/>
        <v>1.0513206192711819</v>
      </c>
      <c r="I11" s="58">
        <f t="shared" si="3"/>
        <v>0.85181376201620074</v>
      </c>
      <c r="J11" s="53">
        <f t="shared" si="4"/>
        <v>12.167234343801551</v>
      </c>
    </row>
    <row r="12" spans="1:10" x14ac:dyDescent="0.3">
      <c r="E12" s="2">
        <v>11</v>
      </c>
      <c r="F12" s="53">
        <f t="shared" si="1"/>
        <v>24.523153913808343</v>
      </c>
      <c r="G12" s="53">
        <f t="shared" si="0"/>
        <v>0</v>
      </c>
      <c r="H12" s="58">
        <f t="shared" si="2"/>
        <v>1.0594723759997959</v>
      </c>
      <c r="I12" s="58">
        <f t="shared" si="3"/>
        <v>0.8584185773682057</v>
      </c>
      <c r="J12" s="53">
        <f t="shared" si="4"/>
        <v>12.261576956904172</v>
      </c>
    </row>
    <row r="13" spans="1:10" x14ac:dyDescent="0.3">
      <c r="A13" s="65" t="s">
        <v>338</v>
      </c>
      <c r="B13" s="65"/>
      <c r="E13" s="2">
        <v>12</v>
      </c>
      <c r="F13" s="53">
        <f t="shared" si="1"/>
        <v>24.686244522600749</v>
      </c>
      <c r="G13" s="53">
        <f t="shared" si="0"/>
        <v>0</v>
      </c>
      <c r="H13" s="58">
        <f t="shared" si="2"/>
        <v>1.0665183699778888</v>
      </c>
      <c r="I13" s="58">
        <f t="shared" si="3"/>
        <v>0.86412746819333164</v>
      </c>
      <c r="J13" s="53">
        <f t="shared" si="4"/>
        <v>12.343122261300374</v>
      </c>
    </row>
    <row r="14" spans="1:10" x14ac:dyDescent="0.3">
      <c r="A14" t="s">
        <v>378</v>
      </c>
      <c r="B14" s="57">
        <v>1</v>
      </c>
      <c r="E14" s="2">
        <v>13</v>
      </c>
      <c r="F14" s="53">
        <f t="shared" si="1"/>
        <v>24.827570847917521</v>
      </c>
      <c r="G14" s="53">
        <f t="shared" si="0"/>
        <v>0</v>
      </c>
      <c r="H14" s="58">
        <f t="shared" si="2"/>
        <v>1.0726240828972362</v>
      </c>
      <c r="I14" s="58">
        <f t="shared" si="3"/>
        <v>0.86907451307791261</v>
      </c>
      <c r="J14" s="53">
        <f t="shared" si="4"/>
        <v>12.41378542395876</v>
      </c>
    </row>
    <row r="15" spans="1:10" x14ac:dyDescent="0.3">
      <c r="A15" t="s">
        <v>379</v>
      </c>
      <c r="B15" s="57">
        <v>0.24</v>
      </c>
      <c r="E15" s="2">
        <v>14</v>
      </c>
      <c r="F15" s="53">
        <f t="shared" si="1"/>
        <v>24.950152667214091</v>
      </c>
      <c r="G15" s="53">
        <f t="shared" si="0"/>
        <v>0</v>
      </c>
      <c r="H15" s="58">
        <f t="shared" si="2"/>
        <v>1.0779199780256108</v>
      </c>
      <c r="I15" s="58">
        <f t="shared" si="3"/>
        <v>0.87336541755543662</v>
      </c>
      <c r="J15" s="53">
        <f t="shared" si="4"/>
        <v>12.475076333607046</v>
      </c>
    </row>
    <row r="16" spans="1:10" x14ac:dyDescent="0.3">
      <c r="A16" t="s">
        <v>380</v>
      </c>
      <c r="B16" s="57">
        <v>0.11</v>
      </c>
      <c r="E16" s="2">
        <v>15</v>
      </c>
      <c r="F16" s="53">
        <f t="shared" si="1"/>
        <v>25.056415773622824</v>
      </c>
      <c r="G16" s="53">
        <f t="shared" si="0"/>
        <v>0</v>
      </c>
      <c r="H16" s="58">
        <f t="shared" si="2"/>
        <v>1.0825108567610162</v>
      </c>
      <c r="I16" s="58">
        <f t="shared" si="3"/>
        <v>0.8770850950875646</v>
      </c>
      <c r="J16" s="53">
        <f t="shared" si="4"/>
        <v>12.528207886811412</v>
      </c>
    </row>
    <row r="17" spans="1:10" x14ac:dyDescent="0.3">
      <c r="A17" t="s">
        <v>381</v>
      </c>
      <c r="B17" s="57">
        <v>0.08</v>
      </c>
      <c r="E17" s="2">
        <v>16</v>
      </c>
      <c r="F17" s="53">
        <f t="shared" si="1"/>
        <v>25.148340267324613</v>
      </c>
      <c r="G17" s="53">
        <f t="shared" si="0"/>
        <v>0</v>
      </c>
      <c r="H17" s="58">
        <f t="shared" si="2"/>
        <v>1.0864822652550914</v>
      </c>
      <c r="I17" s="58">
        <f t="shared" si="3"/>
        <v>0.8803028579163642</v>
      </c>
      <c r="J17" s="53">
        <f t="shared" si="4"/>
        <v>12.574170133662307</v>
      </c>
    </row>
    <row r="18" spans="1:10" x14ac:dyDescent="0.3">
      <c r="E18" s="2">
        <v>17</v>
      </c>
      <c r="F18" s="53">
        <f t="shared" si="1"/>
        <v>25.227564968146364</v>
      </c>
      <c r="G18" s="53">
        <f t="shared" si="0"/>
        <v>0</v>
      </c>
      <c r="H18" s="58">
        <f t="shared" si="2"/>
        <v>1.089905005344417</v>
      </c>
      <c r="I18" s="58">
        <f t="shared" si="3"/>
        <v>0.88307607196586435</v>
      </c>
      <c r="J18" s="53">
        <f t="shared" si="4"/>
        <v>12.613782484073182</v>
      </c>
    </row>
    <row r="19" spans="1:10" x14ac:dyDescent="0.3">
      <c r="A19" s="54" t="s">
        <v>344</v>
      </c>
      <c r="B19" s="48">
        <f>'Parámetros base'!E24</f>
        <v>4.3202941176470571</v>
      </c>
      <c r="E19" s="2">
        <v>18</v>
      </c>
      <c r="F19" s="53">
        <f t="shared" si="1"/>
        <v>25.295462722750948</v>
      </c>
      <c r="G19" s="53">
        <f t="shared" si="0"/>
        <v>0</v>
      </c>
      <c r="H19" s="58">
        <f t="shared" si="2"/>
        <v>1.0928383880426134</v>
      </c>
      <c r="I19" s="58">
        <f t="shared" si="3"/>
        <v>0.88545279292594214</v>
      </c>
      <c r="J19" s="53">
        <f t="shared" si="4"/>
        <v>12.647731361375474</v>
      </c>
    </row>
    <row r="20" spans="1:10" x14ac:dyDescent="0.3">
      <c r="A20" s="54" t="s">
        <v>347</v>
      </c>
      <c r="B20" s="48">
        <f>'Parámetros base'!E25</f>
        <v>3.5004411764705874</v>
      </c>
      <c r="E20" s="2">
        <v>19</v>
      </c>
      <c r="F20" s="53">
        <f t="shared" si="1"/>
        <v>25.353195869515481</v>
      </c>
      <c r="G20" s="53">
        <f t="shared" si="0"/>
        <v>0</v>
      </c>
      <c r="H20" s="58">
        <f t="shared" si="2"/>
        <v>1.095332629786214</v>
      </c>
      <c r="I20" s="58">
        <f t="shared" si="3"/>
        <v>0.88747370776776013</v>
      </c>
      <c r="J20" s="53">
        <f t="shared" si="4"/>
        <v>12.676597934757741</v>
      </c>
    </row>
    <row r="21" spans="1:10" x14ac:dyDescent="0.3">
      <c r="E21" s="2">
        <v>20</v>
      </c>
      <c r="F21" s="53">
        <f t="shared" si="1"/>
        <v>25.401757848439512</v>
      </c>
      <c r="G21" s="53">
        <f t="shared" si="0"/>
        <v>0</v>
      </c>
      <c r="H21" s="58">
        <f t="shared" si="2"/>
        <v>1.0974306501050819</v>
      </c>
      <c r="I21" s="58">
        <f t="shared" si="3"/>
        <v>0.88917359127412576</v>
      </c>
      <c r="J21" s="53">
        <f t="shared" si="4"/>
        <v>12.700878924219756</v>
      </c>
    </row>
    <row r="22" spans="1:10" x14ac:dyDescent="0.3">
      <c r="A22" s="66" t="s">
        <v>388</v>
      </c>
      <c r="B22" s="66"/>
      <c r="E22" s="2">
        <v>21</v>
      </c>
      <c r="F22" s="53">
        <f t="shared" si="1"/>
        <v>25.442004930517069</v>
      </c>
      <c r="G22" s="53">
        <f t="shared" si="0"/>
        <v>0</v>
      </c>
      <c r="H22" s="58">
        <f t="shared" si="2"/>
        <v>1.0991694424246032</v>
      </c>
      <c r="I22" s="58">
        <f t="shared" si="3"/>
        <v>0.89058241670749649</v>
      </c>
      <c r="J22" s="53">
        <f t="shared" si="4"/>
        <v>12.721002465258534</v>
      </c>
    </row>
    <row r="23" spans="1:10" x14ac:dyDescent="0.3">
      <c r="A23" s="60" t="s">
        <v>392</v>
      </c>
      <c r="B23" s="60" t="s">
        <v>390</v>
      </c>
      <c r="C23" t="s">
        <v>391</v>
      </c>
      <c r="E23" s="2">
        <v>22</v>
      </c>
      <c r="F23" s="53">
        <f t="shared" si="1"/>
        <v>25.474680767625525</v>
      </c>
      <c r="G23" s="53">
        <f t="shared" si="0"/>
        <v>0</v>
      </c>
      <c r="H23" s="58">
        <f t="shared" si="2"/>
        <v>1.1005811346930918</v>
      </c>
      <c r="I23" s="58">
        <f t="shared" si="3"/>
        <v>0.89172621516439732</v>
      </c>
      <c r="J23" s="53">
        <f t="shared" si="4"/>
        <v>12.737340383812763</v>
      </c>
    </row>
    <row r="24" spans="1:10" x14ac:dyDescent="0.3">
      <c r="A24" t="s">
        <v>389</v>
      </c>
      <c r="B24" s="59">
        <v>2</v>
      </c>
      <c r="C24">
        <v>1</v>
      </c>
      <c r="E24" s="2">
        <v>23</v>
      </c>
      <c r="F24" s="53">
        <f t="shared" si="1"/>
        <v>25.500435637433444</v>
      </c>
      <c r="G24" s="53">
        <f t="shared" si="0"/>
        <v>0</v>
      </c>
      <c r="H24" s="58">
        <f t="shared" si="2"/>
        <v>1.1016938208184108</v>
      </c>
      <c r="I24" s="58">
        <f t="shared" si="3"/>
        <v>0.8926277492321002</v>
      </c>
      <c r="J24" s="53">
        <f t="shared" si="4"/>
        <v>12.750217818716722</v>
      </c>
    </row>
    <row r="25" spans="1:10" x14ac:dyDescent="0.3">
      <c r="A25" t="s">
        <v>393</v>
      </c>
      <c r="B25">
        <v>3</v>
      </c>
      <c r="C25">
        <v>1</v>
      </c>
      <c r="E25" s="2">
        <v>24</v>
      </c>
      <c r="F25" s="53">
        <f t="shared" si="1"/>
        <v>25.519841708857118</v>
      </c>
      <c r="G25" s="53">
        <f t="shared" si="0"/>
        <v>0</v>
      </c>
      <c r="H25" s="58">
        <f t="shared" si="2"/>
        <v>1.1025322201805943</v>
      </c>
      <c r="I25" s="58">
        <f t="shared" si="3"/>
        <v>0.89330704734694977</v>
      </c>
      <c r="J25" s="53">
        <f t="shared" si="4"/>
        <v>12.759920854428559</v>
      </c>
    </row>
    <row r="26" spans="1:10" x14ac:dyDescent="0.3">
      <c r="A26" t="s">
        <v>394</v>
      </c>
      <c r="B26">
        <v>4</v>
      </c>
      <c r="C26">
        <v>1</v>
      </c>
      <c r="E26" s="2">
        <v>25</v>
      </c>
      <c r="F26" s="53">
        <f t="shared" si="1"/>
        <v>25.533405281389925</v>
      </c>
      <c r="G26" s="53">
        <f t="shared" si="0"/>
        <v>0</v>
      </c>
      <c r="H26" s="58">
        <f t="shared" si="2"/>
        <v>1.1031182064068719</v>
      </c>
      <c r="I26" s="58">
        <f t="shared" si="3"/>
        <v>0.89378183222488861</v>
      </c>
      <c r="J26" s="53">
        <f t="shared" si="4"/>
        <v>12.766702640694962</v>
      </c>
    </row>
    <row r="27" spans="1:10" x14ac:dyDescent="0.3">
      <c r="E27" s="2">
        <v>26</v>
      </c>
      <c r="F27" s="53">
        <f t="shared" si="1"/>
        <v>25.541576694530544</v>
      </c>
      <c r="G27" s="53">
        <f t="shared" si="0"/>
        <v>0</v>
      </c>
      <c r="H27" s="58">
        <f t="shared" si="2"/>
        <v>1.1034712354881147</v>
      </c>
      <c r="I27" s="58">
        <f t="shared" si="3"/>
        <v>0.89406786773516234</v>
      </c>
      <c r="J27" s="53">
        <f t="shared" si="4"/>
        <v>12.770788347265272</v>
      </c>
    </row>
    <row r="28" spans="1:10" x14ac:dyDescent="0.3">
      <c r="E28" s="2">
        <v>27</v>
      </c>
      <c r="F28" s="53">
        <f t="shared" si="1"/>
        <v>25.544758422922339</v>
      </c>
      <c r="G28" s="53">
        <f t="shared" si="0"/>
        <v>0</v>
      </c>
      <c r="H28" s="58">
        <f t="shared" si="2"/>
        <v>1.1036086955126649</v>
      </c>
      <c r="I28" s="58">
        <f t="shared" si="3"/>
        <v>0.89417924226591228</v>
      </c>
      <c r="J28" s="53">
        <f t="shared" si="4"/>
        <v>12.772379211461169</v>
      </c>
    </row>
    <row r="29" spans="1:10" x14ac:dyDescent="0.3">
      <c r="E29" s="2">
        <v>28</v>
      </c>
      <c r="F29" s="53">
        <f t="shared" si="1"/>
        <v>25.543311743963336</v>
      </c>
      <c r="G29" s="53">
        <f t="shared" si="0"/>
        <v>0</v>
      </c>
      <c r="H29" s="58">
        <f t="shared" si="2"/>
        <v>1.103546194726698</v>
      </c>
      <c r="I29" s="58">
        <f t="shared" si="3"/>
        <v>0.89412860211993983</v>
      </c>
      <c r="J29" s="53">
        <f t="shared" si="4"/>
        <v>12.771655871981668</v>
      </c>
    </row>
    <row r="30" spans="1:10" x14ac:dyDescent="0.3">
      <c r="E30" s="2">
        <v>29</v>
      </c>
      <c r="F30" s="53">
        <f t="shared" si="1"/>
        <v>25.537562271414636</v>
      </c>
      <c r="G30" s="53">
        <f t="shared" si="0"/>
        <v>0</v>
      </c>
      <c r="H30" s="58">
        <f t="shared" si="2"/>
        <v>1.1032978006023806</v>
      </c>
      <c r="I30" s="58">
        <f t="shared" si="3"/>
        <v>0.89392734521541528</v>
      </c>
      <c r="J30" s="53">
        <f t="shared" si="4"/>
        <v>12.768781135707318</v>
      </c>
    </row>
    <row r="31" spans="1:10" x14ac:dyDescent="0.3">
      <c r="E31" s="2">
        <v>30</v>
      </c>
      <c r="F31" s="53">
        <f t="shared" si="1"/>
        <v>25.527804580196754</v>
      </c>
      <c r="G31" s="53">
        <f t="shared" si="0"/>
        <v>0</v>
      </c>
      <c r="H31" s="58">
        <f t="shared" si="2"/>
        <v>1.1028762396426763</v>
      </c>
      <c r="I31" s="58">
        <f t="shared" si="3"/>
        <v>0.89358578297415181</v>
      </c>
      <c r="J31" s="53">
        <f t="shared" si="4"/>
        <v>12.763902290098377</v>
      </c>
    </row>
    <row r="32" spans="1:10" x14ac:dyDescent="0.3">
      <c r="E32" s="2">
        <v>31</v>
      </c>
      <c r="F32" s="53">
        <f t="shared" si="1"/>
        <v>25.514306096868641</v>
      </c>
      <c r="G32" s="53">
        <f t="shared" si="0"/>
        <v>0</v>
      </c>
      <c r="H32" s="58">
        <f t="shared" si="2"/>
        <v>1.1022930654614804</v>
      </c>
      <c r="I32" s="58">
        <f t="shared" si="3"/>
        <v>0.89311327650553551</v>
      </c>
      <c r="J32" s="53">
        <f t="shared" si="4"/>
        <v>12.75715304843432</v>
      </c>
    </row>
    <row r="33" spans="5:10" x14ac:dyDescent="0.3">
      <c r="E33" s="2">
        <v>32</v>
      </c>
      <c r="F33" s="53">
        <f t="shared" si="1"/>
        <v>25.497310392259713</v>
      </c>
      <c r="G33" s="53">
        <f t="shared" si="0"/>
        <v>0</v>
      </c>
      <c r="H33" s="58">
        <f t="shared" si="2"/>
        <v>1.1015588010350081</v>
      </c>
      <c r="I33" s="58">
        <f t="shared" si="3"/>
        <v>0.89251835186317319</v>
      </c>
      <c r="J33" s="53">
        <f t="shared" si="4"/>
        <v>12.748655196129857</v>
      </c>
    </row>
    <row r="34" spans="5:10" x14ac:dyDescent="0.3">
      <c r="E34" s="2">
        <v>33</v>
      </c>
      <c r="F34" s="53">
        <f t="shared" si="1"/>
        <v>25.477039983908977</v>
      </c>
      <c r="G34" s="53">
        <f t="shared" si="0"/>
        <v>0</v>
      </c>
      <c r="H34" s="58">
        <f t="shared" si="2"/>
        <v>1.1006830597754083</v>
      </c>
      <c r="I34" s="58">
        <f t="shared" si="3"/>
        <v>0.89180879814262537</v>
      </c>
      <c r="J34" s="53">
        <f t="shared" si="4"/>
        <v>12.738519991954488</v>
      </c>
    </row>
    <row r="35" spans="5:10" x14ac:dyDescent="0.3">
      <c r="E35" s="2">
        <v>34</v>
      </c>
      <c r="F35" s="53">
        <f t="shared" si="1"/>
        <v>25.453698733918493</v>
      </c>
      <c r="G35" s="53">
        <f t="shared" si="0"/>
        <v>0</v>
      </c>
      <c r="H35" s="58">
        <f t="shared" si="2"/>
        <v>1.0996746491250839</v>
      </c>
      <c r="I35" s="58">
        <f t="shared" si="3"/>
        <v>0.89099175141685549</v>
      </c>
      <c r="J35" s="53">
        <f t="shared" si="4"/>
        <v>12.726849366959247</v>
      </c>
    </row>
    <row r="36" spans="5:10" x14ac:dyDescent="0.3">
      <c r="E36" s="2">
        <v>35</v>
      </c>
      <c r="F36" s="53">
        <f t="shared" si="1"/>
        <v>25.427473910808455</v>
      </c>
      <c r="G36" s="53">
        <f t="shared" si="0"/>
        <v>0</v>
      </c>
      <c r="H36" s="58">
        <f t="shared" si="2"/>
        <v>1.0985416596348978</v>
      </c>
      <c r="I36" s="58">
        <f t="shared" si="3"/>
        <v>0.89007376691025508</v>
      </c>
      <c r="J36" s="53">
        <f t="shared" si="4"/>
        <v>12.713736955404228</v>
      </c>
    </row>
    <row r="37" spans="5:10" x14ac:dyDescent="0.3">
      <c r="E37" s="2">
        <v>36</v>
      </c>
      <c r="F37" s="53">
        <f t="shared" si="1"/>
        <v>25.398537970712933</v>
      </c>
      <c r="G37" s="53">
        <f t="shared" si="0"/>
        <v>0</v>
      </c>
      <c r="H37" s="58">
        <f t="shared" si="2"/>
        <v>1.0972915419170652</v>
      </c>
      <c r="I37" s="58">
        <f t="shared" si="3"/>
        <v>0.88906088134835271</v>
      </c>
      <c r="J37" s="53">
        <f t="shared" si="4"/>
        <v>12.699268985356467</v>
      </c>
    </row>
    <row r="38" spans="5:10" x14ac:dyDescent="0.3">
      <c r="E38" s="2">
        <v>37</v>
      </c>
      <c r="F38" s="53">
        <f t="shared" si="1"/>
        <v>25.36705010286089</v>
      </c>
      <c r="G38" s="53">
        <f t="shared" si="0"/>
        <v>0</v>
      </c>
      <c r="H38" s="58">
        <f t="shared" si="2"/>
        <v>1.0959311734144808</v>
      </c>
      <c r="I38" s="58">
        <f t="shared" si="3"/>
        <v>0.8879586670564672</v>
      </c>
      <c r="J38" s="53">
        <f t="shared" si="4"/>
        <v>12.683525051430445</v>
      </c>
    </row>
    <row r="39" spans="5:10" x14ac:dyDescent="0.3">
      <c r="E39" s="2">
        <v>38</v>
      </c>
      <c r="F39" s="53">
        <f t="shared" si="1"/>
        <v>25.333157576072509</v>
      </c>
      <c r="G39" s="53">
        <f t="shared" si="0"/>
        <v>0</v>
      </c>
      <c r="H39" s="58">
        <f t="shared" si="2"/>
        <v>1.0944669165733203</v>
      </c>
      <c r="I39" s="58">
        <f t="shared" si="3"/>
        <v>0.88677227909302037</v>
      </c>
      <c r="J39" s="53">
        <f t="shared" si="4"/>
        <v>12.666578788036254</v>
      </c>
    </row>
    <row r="40" spans="5:10" x14ac:dyDescent="0.3">
      <c r="E40" s="2">
        <v>39</v>
      </c>
      <c r="F40" s="53">
        <f t="shared" si="1"/>
        <v>25.29699691646325</v>
      </c>
      <c r="G40" s="53">
        <f t="shared" si="0"/>
        <v>0</v>
      </c>
      <c r="H40" s="58">
        <f t="shared" si="2"/>
        <v>1.0929046697233193</v>
      </c>
      <c r="I40" s="58">
        <f t="shared" si="3"/>
        <v>0.8855064964743744</v>
      </c>
      <c r="J40" s="53">
        <f t="shared" si="4"/>
        <v>12.648498458231625</v>
      </c>
    </row>
    <row r="41" spans="5:10" x14ac:dyDescent="0.3">
      <c r="E41" s="2">
        <v>40</v>
      </c>
      <c r="F41" s="53">
        <f t="shared" si="1"/>
        <v>25.258694941311301</v>
      </c>
      <c r="G41" s="53">
        <f t="shared" si="0"/>
        <v>0</v>
      </c>
      <c r="H41" s="58">
        <f t="shared" si="2"/>
        <v>1.091249911743887</v>
      </c>
      <c r="I41" s="58">
        <f t="shared" si="3"/>
        <v>0.88416575836475397</v>
      </c>
      <c r="J41" s="53">
        <f t="shared" si="4"/>
        <v>12.629347470655651</v>
      </c>
    </row>
    <row r="42" spans="5:10" x14ac:dyDescent="0.3">
      <c r="E42" s="2">
        <v>41</v>
      </c>
      <c r="F42" s="53">
        <f t="shared" si="1"/>
        <v>25.218369669823613</v>
      </c>
      <c r="G42" s="53">
        <f t="shared" si="0"/>
        <v>0</v>
      </c>
      <c r="H42" s="58">
        <f t="shared" si="2"/>
        <v>1.089507741411879</v>
      </c>
      <c r="I42" s="58">
        <f t="shared" si="3"/>
        <v>0.88275419595707549</v>
      </c>
      <c r="J42" s="53">
        <f t="shared" si="4"/>
        <v>12.609184834911806</v>
      </c>
    </row>
    <row r="43" spans="5:10" x14ac:dyDescent="0.3">
      <c r="E43" s="2">
        <v>42</v>
      </c>
      <c r="F43" s="53">
        <f t="shared" si="1"/>
        <v>25.176131128114065</v>
      </c>
      <c r="G43" s="53">
        <f t="shared" si="0"/>
        <v>0</v>
      </c>
      <c r="H43" s="58">
        <f t="shared" si="2"/>
        <v>1.0876829121790217</v>
      </c>
      <c r="I43" s="58">
        <f t="shared" si="3"/>
        <v>0.88127566065073371</v>
      </c>
      <c r="J43" s="53">
        <f t="shared" si="4"/>
        <v>12.588065564057032</v>
      </c>
    </row>
    <row r="44" spans="5:10" x14ac:dyDescent="0.3">
      <c r="E44" s="2">
        <v>43</v>
      </c>
      <c r="F44" s="53">
        <f t="shared" si="1"/>
        <v>25.132082062918091</v>
      </c>
      <c r="G44" s="53">
        <f t="shared" si="0"/>
        <v>0</v>
      </c>
      <c r="H44" s="58">
        <f t="shared" si="2"/>
        <v>1.0857798630064814</v>
      </c>
      <c r="I44" s="58">
        <f t="shared" si="3"/>
        <v>0.87973374903476353</v>
      </c>
      <c r="J44" s="53">
        <f t="shared" si="4"/>
        <v>12.566041031459045</v>
      </c>
    </row>
    <row r="45" spans="5:10" x14ac:dyDescent="0.3">
      <c r="E45" s="2">
        <v>44</v>
      </c>
      <c r="F45" s="53">
        <f t="shared" si="1"/>
        <v>25.086318576282583</v>
      </c>
      <c r="G45" s="53">
        <f t="shared" si="0"/>
        <v>0</v>
      </c>
      <c r="H45" s="58">
        <f t="shared" si="2"/>
        <v>1.0838027457853374</v>
      </c>
      <c r="I45" s="58">
        <f t="shared" si="3"/>
        <v>0.8781318251047856</v>
      </c>
      <c r="J45" s="53">
        <f t="shared" si="4"/>
        <v>12.543159288141291</v>
      </c>
    </row>
    <row r="46" spans="5:10" x14ac:dyDescent="0.3">
      <c r="E46" s="2">
        <v>45</v>
      </c>
      <c r="F46" s="53">
        <f t="shared" si="1"/>
        <v>25.038930691587655</v>
      </c>
      <c r="G46" s="53">
        <f t="shared" si="0"/>
        <v>0</v>
      </c>
      <c r="H46" s="58">
        <f t="shared" si="2"/>
        <v>1.081755449790385</v>
      </c>
      <c r="I46" s="58">
        <f t="shared" si="3"/>
        <v>0.87647304007626592</v>
      </c>
      <c r="J46" s="53">
        <f t="shared" si="4"/>
        <v>12.519465345793828</v>
      </c>
    </row>
    <row r="47" spans="5:10" x14ac:dyDescent="0.3">
      <c r="E47" s="2">
        <v>46</v>
      </c>
      <c r="F47" s="53">
        <f t="shared" si="1"/>
        <v>24.990002859699352</v>
      </c>
      <c r="G47" s="53">
        <f t="shared" si="0"/>
        <v>0</v>
      </c>
      <c r="H47" s="58">
        <f t="shared" si="2"/>
        <v>1.0796416235474224</v>
      </c>
      <c r="I47" s="58">
        <f t="shared" si="3"/>
        <v>0.87476035010209341</v>
      </c>
      <c r="J47" s="53">
        <f t="shared" si="4"/>
        <v>12.495001429849676</v>
      </c>
    </row>
    <row r="48" spans="5:10" x14ac:dyDescent="0.3">
      <c r="E48" s="2">
        <v>47</v>
      </c>
      <c r="F48" s="53">
        <f t="shared" si="1"/>
        <v>24.939614412757894</v>
      </c>
      <c r="G48" s="53">
        <f t="shared" si="0"/>
        <v>0</v>
      </c>
      <c r="H48" s="58">
        <f t="shared" si="2"/>
        <v>1.0774646944382369</v>
      </c>
      <c r="I48" s="58">
        <f t="shared" si="3"/>
        <v>0.87299653215717055</v>
      </c>
      <c r="J48" s="53">
        <f t="shared" si="4"/>
        <v>12.469807206378947</v>
      </c>
    </row>
    <row r="49" spans="5:10" x14ac:dyDescent="0.3">
      <c r="E49" s="2">
        <v>48</v>
      </c>
      <c r="F49" s="53">
        <f t="shared" si="1"/>
        <v>24.887839972025532</v>
      </c>
      <c r="G49" s="53">
        <f t="shared" si="0"/>
        <v>0</v>
      </c>
      <c r="H49" s="58">
        <f t="shared" si="2"/>
        <v>1.075227886320832</v>
      </c>
      <c r="I49" s="58">
        <f t="shared" si="3"/>
        <v>0.87118419831488769</v>
      </c>
      <c r="J49" s="53">
        <f t="shared" si="4"/>
        <v>12.443919986012766</v>
      </c>
    </row>
    <row r="50" spans="5:10" x14ac:dyDescent="0.3">
      <c r="E50" s="2">
        <v>49</v>
      </c>
      <c r="F50" s="53">
        <f t="shared" si="1"/>
        <v>24.834749815312019</v>
      </c>
      <c r="G50" s="53">
        <f t="shared" si="0"/>
        <v>0</v>
      </c>
      <c r="H50" s="58">
        <f t="shared" si="2"/>
        <v>1.0729342354032887</v>
      </c>
      <c r="I50" s="58">
        <f t="shared" si="3"/>
        <v>0.86932580860863506</v>
      </c>
      <c r="J50" s="53">
        <f t="shared" si="4"/>
        <v>12.41737490765601</v>
      </c>
    </row>
    <row r="51" spans="5:10" x14ac:dyDescent="0.3">
      <c r="E51" s="2">
        <v>50</v>
      </c>
      <c r="F51" s="53">
        <f t="shared" si="1"/>
        <v>24.780410208734036</v>
      </c>
      <c r="G51" s="53">
        <f t="shared" si="0"/>
        <v>0</v>
      </c>
      <c r="H51" s="58">
        <f t="shared" si="2"/>
        <v>1.0705866045767474</v>
      </c>
      <c r="I51" s="58">
        <f t="shared" si="3"/>
        <v>0.86742368264484726</v>
      </c>
      <c r="J51" s="53">
        <f t="shared" si="4"/>
        <v>12.390205104367018</v>
      </c>
    </row>
    <row r="52" spans="5:10" x14ac:dyDescent="0.3">
      <c r="E52" s="2">
        <v>51</v>
      </c>
      <c r="F52" s="53">
        <f t="shared" si="1"/>
        <v>24.724883706920554</v>
      </c>
      <c r="G52" s="53">
        <f t="shared" si="0"/>
        <v>0</v>
      </c>
      <c r="H52" s="58">
        <f t="shared" si="2"/>
        <v>1.0681876963851642</v>
      </c>
      <c r="I52" s="58">
        <f t="shared" si="3"/>
        <v>0.86548001011151443</v>
      </c>
      <c r="J52" s="53">
        <f t="shared" si="4"/>
        <v>12.362441853460277</v>
      </c>
    </row>
    <row r="53" spans="5:10" x14ac:dyDescent="0.3">
      <c r="E53" s="2">
        <v>52</v>
      </c>
      <c r="F53" s="53">
        <f t="shared" si="1"/>
        <v>24.668229425230869</v>
      </c>
      <c r="G53" s="53">
        <f t="shared" si="0"/>
        <v>0</v>
      </c>
      <c r="H53" s="58">
        <f t="shared" si="2"/>
        <v>1.0657400647859296</v>
      </c>
      <c r="I53" s="58">
        <f t="shared" si="3"/>
        <v>0.863496860307015</v>
      </c>
      <c r="J53" s="53">
        <f t="shared" si="4"/>
        <v>12.334114712615435</v>
      </c>
    </row>
    <row r="54" spans="5:10" x14ac:dyDescent="0.3">
      <c r="E54" s="2">
        <v>53</v>
      </c>
      <c r="F54" s="53">
        <f t="shared" si="1"/>
        <v>24.61050328708755</v>
      </c>
      <c r="G54" s="53">
        <f t="shared" si="0"/>
        <v>0</v>
      </c>
      <c r="H54" s="58">
        <f t="shared" si="2"/>
        <v>1.0632461258353789</v>
      </c>
      <c r="I54" s="58">
        <f t="shared" si="3"/>
        <v>0.86147619079785998</v>
      </c>
      <c r="J54" s="53">
        <f t="shared" si="4"/>
        <v>12.305251643543775</v>
      </c>
    </row>
    <row r="55" spans="5:10" x14ac:dyDescent="0.3">
      <c r="E55" s="2">
        <v>54</v>
      </c>
      <c r="F55" s="53">
        <f t="shared" si="1"/>
        <v>24.551758249130547</v>
      </c>
      <c r="G55" s="53">
        <f t="shared" si="0"/>
        <v>0</v>
      </c>
      <c r="H55" s="58">
        <f t="shared" si="2"/>
        <v>1.0607081674161132</v>
      </c>
      <c r="I55" s="58">
        <f t="shared" si="3"/>
        <v>0.8594198553000798</v>
      </c>
      <c r="J55" s="53">
        <f t="shared" si="4"/>
        <v>12.275879124565273</v>
      </c>
    </row>
    <row r="56" spans="5:10" x14ac:dyDescent="0.3">
      <c r="E56" s="2">
        <v>55</v>
      </c>
      <c r="F56" s="53">
        <f t="shared" si="1"/>
        <v>24.492044506559367</v>
      </c>
      <c r="G56" s="53">
        <f t="shared" si="0"/>
        <v>0</v>
      </c>
      <c r="H56" s="58">
        <f t="shared" si="2"/>
        <v>1.0581283581083836</v>
      </c>
      <c r="I56" s="58">
        <f t="shared" si="3"/>
        <v>0.85732961086710657</v>
      </c>
      <c r="J56" s="53">
        <f t="shared" si="4"/>
        <v>12.246022253279683</v>
      </c>
    </row>
    <row r="57" spans="5:10" x14ac:dyDescent="0.3">
      <c r="E57" s="2">
        <v>56</v>
      </c>
      <c r="F57" s="53">
        <f t="shared" si="1"/>
        <v>24.431409680739289</v>
      </c>
      <c r="G57" s="53">
        <f t="shared" si="0"/>
        <v>0</v>
      </c>
      <c r="H57" s="58">
        <f t="shared" si="2"/>
        <v>1.0555087552952331</v>
      </c>
      <c r="I57" s="58">
        <f t="shared" si="3"/>
        <v>0.85520712445681935</v>
      </c>
      <c r="J57" s="53">
        <f t="shared" si="4"/>
        <v>12.215704840369645</v>
      </c>
    </row>
    <row r="58" spans="5:10" x14ac:dyDescent="0.3">
      <c r="E58" s="2">
        <v>57</v>
      </c>
      <c r="F58" s="53">
        <f t="shared" si="1"/>
        <v>24.369898990896285</v>
      </c>
      <c r="G58" s="53">
        <f t="shared" si="0"/>
        <v>0</v>
      </c>
      <c r="H58" s="58">
        <f t="shared" si="2"/>
        <v>1.0528513125802217</v>
      </c>
      <c r="I58" s="58">
        <f t="shared" si="3"/>
        <v>0.85305397894162371</v>
      </c>
      <c r="J58" s="53">
        <f t="shared" si="4"/>
        <v>12.184949495448143</v>
      </c>
    </row>
    <row r="59" spans="5:10" x14ac:dyDescent="0.3">
      <c r="E59" s="2">
        <v>58</v>
      </c>
      <c r="F59" s="53">
        <f t="shared" si="1"/>
        <v>24.307555411509057</v>
      </c>
      <c r="G59" s="53">
        <f t="shared" si="0"/>
        <v>0</v>
      </c>
      <c r="H59" s="58">
        <f t="shared" si="2"/>
        <v>1.0501578865872248</v>
      </c>
      <c r="I59" s="58">
        <f t="shared" si="3"/>
        <v>0.8508716786178675</v>
      </c>
      <c r="J59" s="53">
        <f t="shared" si="4"/>
        <v>12.153777705754528</v>
      </c>
    </row>
    <row r="60" spans="5:10" x14ac:dyDescent="0.3">
      <c r="E60" s="2">
        <v>59</v>
      </c>
      <c r="F60" s="53">
        <f t="shared" si="1"/>
        <v>24.24441981681877</v>
      </c>
      <c r="G60" s="53">
        <f t="shared" si="0"/>
        <v>0</v>
      </c>
      <c r="H60" s="58">
        <f t="shared" si="2"/>
        <v>1.0474302432036786</v>
      </c>
      <c r="I60" s="58">
        <f t="shared" si="3"/>
        <v>0.84866165426431917</v>
      </c>
      <c r="J60" s="53">
        <f t="shared" si="4"/>
        <v>12.122209908409385</v>
      </c>
    </row>
    <row r="61" spans="5:10" x14ac:dyDescent="0.3">
      <c r="E61" s="2">
        <v>60</v>
      </c>
      <c r="F61" s="53">
        <f t="shared" si="1"/>
        <v>24.180531113714093</v>
      </c>
      <c r="G61" s="53">
        <f t="shared" si="0"/>
        <v>0</v>
      </c>
      <c r="H61" s="58">
        <f t="shared" si="2"/>
        <v>1.0446700633216064</v>
      </c>
      <c r="I61" s="58">
        <f t="shared" si="3"/>
        <v>0.84642526779372995</v>
      </c>
      <c r="J61" s="53">
        <f t="shared" si="4"/>
        <v>12.090265556857046</v>
      </c>
    </row>
    <row r="62" spans="5:10" x14ac:dyDescent="0.3">
      <c r="E62" s="2">
        <v>61</v>
      </c>
      <c r="F62" s="53">
        <f t="shared" si="1"/>
        <v>24.115926364107541</v>
      </c>
      <c r="G62" s="53">
        <f t="shared" si="0"/>
        <v>0</v>
      </c>
      <c r="H62" s="58">
        <f t="shared" si="2"/>
        <v>1.0418789481246338</v>
      </c>
      <c r="I62" s="58">
        <f t="shared" si="3"/>
        <v>0.84416381653654649</v>
      </c>
      <c r="J62" s="53">
        <f t="shared" si="4"/>
        <v>12.05796318205377</v>
      </c>
    </row>
    <row r="63" spans="5:10" x14ac:dyDescent="0.3">
      <c r="E63" s="2">
        <v>62</v>
      </c>
      <c r="F63" s="53">
        <f t="shared" si="1"/>
        <v>24.050640897794967</v>
      </c>
      <c r="G63" s="53">
        <f t="shared" si="0"/>
        <v>0</v>
      </c>
      <c r="H63" s="58">
        <f t="shared" si="2"/>
        <v>1.0390584239638532</v>
      </c>
      <c r="I63" s="58">
        <f t="shared" si="3"/>
        <v>0.84187853719149031</v>
      </c>
      <c r="J63" s="53">
        <f t="shared" si="4"/>
        <v>12.025320448897483</v>
      </c>
    </row>
    <row r="64" spans="5:10" x14ac:dyDescent="0.3">
      <c r="E64" s="2">
        <v>63</v>
      </c>
      <c r="F64" s="53">
        <f t="shared" si="1"/>
        <v>23.98470841668226</v>
      </c>
      <c r="G64" s="53">
        <f t="shared" si="0"/>
        <v>0</v>
      </c>
      <c r="H64" s="58">
        <f t="shared" si="2"/>
        <v>1.0362099468607222</v>
      </c>
      <c r="I64" s="58">
        <f t="shared" si="3"/>
        <v>0.83957060947395246</v>
      </c>
      <c r="J64" s="53">
        <f t="shared" si="4"/>
        <v>11.99235420834113</v>
      </c>
    </row>
    <row r="65" spans="5:10" x14ac:dyDescent="0.3">
      <c r="E65" s="2">
        <v>64</v>
      </c>
      <c r="F65" s="53">
        <f t="shared" si="1"/>
        <v>23.918161091167988</v>
      </c>
      <c r="G65" s="53">
        <f t="shared" si="0"/>
        <v>0</v>
      </c>
      <c r="H65" s="58">
        <f t="shared" si="2"/>
        <v>1.0333349066710777</v>
      </c>
      <c r="I65" s="58">
        <f t="shared" si="3"/>
        <v>0.83724115948981093</v>
      </c>
      <c r="J65" s="53">
        <f t="shared" si="4"/>
        <v>11.959080545583994</v>
      </c>
    </row>
    <row r="66" spans="5:10" x14ac:dyDescent="0.3">
      <c r="E66" s="2">
        <v>65</v>
      </c>
      <c r="F66" s="53">
        <f t="shared" si="1"/>
        <v>23.851029649387588</v>
      </c>
      <c r="G66" s="53">
        <f t="shared" ref="G66:G96" si="5">F66*0%</f>
        <v>0</v>
      </c>
      <c r="H66" s="58">
        <f t="shared" si="2"/>
        <v>1.0304346309407473</v>
      </c>
      <c r="I66" s="58">
        <f t="shared" si="3"/>
        <v>0.83489126285937143</v>
      </c>
      <c r="J66" s="53">
        <f t="shared" si="4"/>
        <v>11.925514824693794</v>
      </c>
    </row>
    <row r="67" spans="5:10" x14ac:dyDescent="0.3">
      <c r="E67" s="2">
        <v>66</v>
      </c>
      <c r="F67" s="53">
        <f t="shared" ref="F67:F130" si="6">$B$4*E67^$B$5*EXP(-$B$6*E67)</f>
        <v>23.783343459951119</v>
      </c>
      <c r="G67" s="53">
        <f t="shared" si="5"/>
        <v>0</v>
      </c>
      <c r="H67" s="58">
        <f t="shared" ref="H67:H130" si="7">F67*$B$19/100</f>
        <v>1.0275103884800643</v>
      </c>
      <c r="I67" s="58">
        <f t="shared" ref="I67:I130" si="8">F67*$B$20/100</f>
        <v>0.83252194761355336</v>
      </c>
      <c r="J67" s="53">
        <f t="shared" ref="J67:J101" si="9">F67/$B$24</f>
        <v>11.89167172997556</v>
      </c>
    </row>
    <row r="68" spans="5:10" x14ac:dyDescent="0.3">
      <c r="E68" s="2">
        <v>67</v>
      </c>
      <c r="F68" s="53">
        <f t="shared" si="6"/>
        <v>23.715130608741987</v>
      </c>
      <c r="G68" s="53">
        <f t="shared" si="5"/>
        <v>0</v>
      </c>
      <c r="H68" s="58">
        <f t="shared" si="7"/>
        <v>1.0245633926817967</v>
      </c>
      <c r="I68" s="58">
        <f t="shared" si="8"/>
        <v>0.83013419688218437</v>
      </c>
      <c r="J68" s="53">
        <f t="shared" si="9"/>
        <v>11.857565304370993</v>
      </c>
    </row>
    <row r="69" spans="5:10" x14ac:dyDescent="0.3">
      <c r="E69" s="2">
        <v>68</v>
      </c>
      <c r="F69" s="53">
        <f t="shared" si="6"/>
        <v>23.646417970286574</v>
      </c>
      <c r="G69" s="53">
        <f t="shared" si="5"/>
        <v>0</v>
      </c>
      <c r="H69" s="58">
        <f t="shared" si="7"/>
        <v>1.0215948046045276</v>
      </c>
      <c r="I69" s="58">
        <f t="shared" si="8"/>
        <v>0.82772895139225167</v>
      </c>
      <c r="J69" s="53">
        <f t="shared" si="9"/>
        <v>11.823208985143287</v>
      </c>
    </row>
    <row r="70" spans="5:10" x14ac:dyDescent="0.3">
      <c r="E70" s="2">
        <v>69</v>
      </c>
      <c r="F70" s="53">
        <f t="shared" si="6"/>
        <v>23.577231274154204</v>
      </c>
      <c r="G70" s="53">
        <f t="shared" si="5"/>
        <v>0</v>
      </c>
      <c r="H70" s="58">
        <f t="shared" si="7"/>
        <v>1.0186057358413263</v>
      </c>
      <c r="I70" s="58">
        <f t="shared" si="8"/>
        <v>0.82530711179219463</v>
      </c>
      <c r="J70" s="53">
        <f t="shared" si="9"/>
        <v>11.788615637077102</v>
      </c>
    </row>
    <row r="71" spans="5:10" x14ac:dyDescent="0.3">
      <c r="E71" s="2">
        <v>70</v>
      </c>
      <c r="F71" s="53">
        <f t="shared" si="6"/>
        <v>23.507595166801607</v>
      </c>
      <c r="G71" s="53">
        <f t="shared" si="5"/>
        <v>0</v>
      </c>
      <c r="H71" s="58">
        <f t="shared" si="7"/>
        <v>1.0155972511916138</v>
      </c>
      <c r="I71" s="58">
        <f t="shared" si="8"/>
        <v>0.82286954081673314</v>
      </c>
      <c r="J71" s="53">
        <f t="shared" si="9"/>
        <v>11.753797583400804</v>
      </c>
    </row>
    <row r="72" spans="5:10" x14ac:dyDescent="0.3">
      <c r="E72" s="2">
        <v>71</v>
      </c>
      <c r="F72" s="53">
        <f t="shared" si="6"/>
        <v>23.437533269236269</v>
      </c>
      <c r="G72" s="53">
        <f t="shared" si="5"/>
        <v>0</v>
      </c>
      <c r="H72" s="58">
        <f t="shared" si="7"/>
        <v>1.0125703711523864</v>
      </c>
      <c r="I72" s="58">
        <f t="shared" si="8"/>
        <v>0.82041706530533942</v>
      </c>
      <c r="J72" s="53">
        <f t="shared" si="9"/>
        <v>11.718766634618135</v>
      </c>
    </row>
    <row r="73" spans="5:10" x14ac:dyDescent="0.3">
      <c r="E73" s="2">
        <v>72</v>
      </c>
      <c r="F73" s="53">
        <f t="shared" si="6"/>
        <v>23.367068230837276</v>
      </c>
      <c r="G73" s="53">
        <f t="shared" si="5"/>
        <v>0</v>
      </c>
      <c r="H73" s="58">
        <f t="shared" si="7"/>
        <v>1.0095260742434371</v>
      </c>
      <c r="I73" s="58">
        <f t="shared" si="8"/>
        <v>0.81795047808620525</v>
      </c>
      <c r="J73" s="53">
        <f t="shared" si="9"/>
        <v>11.683534115418638</v>
      </c>
    </row>
    <row r="74" spans="5:10" x14ac:dyDescent="0.3">
      <c r="E74" s="2">
        <v>73</v>
      </c>
      <c r="F74" s="53">
        <f t="shared" si="6"/>
        <v>23.296221779640405</v>
      </c>
      <c r="G74" s="53">
        <f t="shared" si="5"/>
        <v>0</v>
      </c>
      <c r="H74" s="58">
        <f t="shared" si="7"/>
        <v>1.0064652991798169</v>
      </c>
      <c r="I74" s="58">
        <f t="shared" si="8"/>
        <v>0.81547053973644179</v>
      </c>
      <c r="J74" s="53">
        <f t="shared" si="9"/>
        <v>11.648110889820202</v>
      </c>
    </row>
    <row r="75" spans="5:10" x14ac:dyDescent="0.3">
      <c r="E75" s="2">
        <v>74</v>
      </c>
      <c r="F75" s="53">
        <f t="shared" si="6"/>
        <v>23.225014769365981</v>
      </c>
      <c r="G75" s="53">
        <f t="shared" si="5"/>
        <v>0</v>
      </c>
      <c r="H75" s="58">
        <f t="shared" si="7"/>
        <v>1.0033889469035786</v>
      </c>
      <c r="I75" s="58">
        <f t="shared" si="8"/>
        <v>0.81297798022826218</v>
      </c>
      <c r="J75" s="53">
        <f t="shared" si="9"/>
        <v>11.61250738468299</v>
      </c>
    </row>
    <row r="76" spans="5:10" x14ac:dyDescent="0.3">
      <c r="E76" s="2">
        <v>75</v>
      </c>
      <c r="F76" s="53">
        <f t="shared" si="6"/>
        <v>23.153467223442433</v>
      </c>
      <c r="G76" s="53">
        <f t="shared" si="5"/>
        <v>0</v>
      </c>
      <c r="H76" s="58">
        <f t="shared" si="7"/>
        <v>1.0002978824857229</v>
      </c>
      <c r="I76" s="58">
        <f t="shared" si="8"/>
        <v>0.81047350047000022</v>
      </c>
      <c r="J76" s="53">
        <f t="shared" si="9"/>
        <v>11.576733611721217</v>
      </c>
    </row>
    <row r="77" spans="5:10" x14ac:dyDescent="0.3">
      <c r="E77" s="2">
        <v>76</v>
      </c>
      <c r="F77" s="53">
        <f t="shared" si="6"/>
        <v>23.081598376255794</v>
      </c>
      <c r="G77" s="53">
        <f t="shared" si="5"/>
        <v>0</v>
      </c>
      <c r="H77" s="58">
        <f t="shared" si="7"/>
        <v>0.99719293690829769</v>
      </c>
      <c r="I77" s="58">
        <f t="shared" si="8"/>
        <v>0.80795777375002431</v>
      </c>
      <c r="J77" s="53">
        <f t="shared" si="9"/>
        <v>11.540799188127897</v>
      </c>
    </row>
    <row r="78" spans="5:10" x14ac:dyDescent="0.3">
      <c r="E78" s="2">
        <v>77</v>
      </c>
      <c r="F78" s="53">
        <f t="shared" si="6"/>
        <v>23.009426711834681</v>
      </c>
      <c r="G78" s="53">
        <f t="shared" si="5"/>
        <v>0</v>
      </c>
      <c r="H78" s="58">
        <f t="shared" si="7"/>
        <v>0.99407490873570437</v>
      </c>
      <c r="I78" s="58">
        <f t="shared" si="8"/>
        <v>0.80543144709088355</v>
      </c>
      <c r="J78" s="53">
        <f t="shared" si="9"/>
        <v>11.504713355917341</v>
      </c>
    </row>
    <row r="79" spans="5:10" x14ac:dyDescent="0.3">
      <c r="E79" s="2">
        <v>78</v>
      </c>
      <c r="F79" s="53">
        <f t="shared" si="6"/>
        <v>22.936970000162354</v>
      </c>
      <c r="G79" s="53">
        <f t="shared" si="5"/>
        <v>0</v>
      </c>
      <c r="H79" s="58">
        <f t="shared" si="7"/>
        <v>0.99094456568348432</v>
      </c>
      <c r="I79" s="58">
        <f t="shared" si="8"/>
        <v>0.80289514252038885</v>
      </c>
      <c r="J79" s="53">
        <f t="shared" si="9"/>
        <v>11.468485000081177</v>
      </c>
    </row>
    <row r="80" spans="5:10" x14ac:dyDescent="0.3">
      <c r="E80" s="2">
        <v>79</v>
      </c>
      <c r="F80" s="53">
        <f t="shared" si="6"/>
        <v>22.864245331290331</v>
      </c>
      <c r="G80" s="53">
        <f t="shared" si="5"/>
        <v>0</v>
      </c>
      <c r="H80" s="58">
        <f t="shared" si="7"/>
        <v>0.98780264609212809</v>
      </c>
      <c r="I80" s="58">
        <f t="shared" si="8"/>
        <v>0.80034945826574055</v>
      </c>
      <c r="J80" s="53">
        <f t="shared" si="9"/>
        <v>11.432122665645165</v>
      </c>
    </row>
    <row r="81" spans="5:10" x14ac:dyDescent="0.3">
      <c r="E81" s="2">
        <v>80</v>
      </c>
      <c r="F81" s="53">
        <f t="shared" si="6"/>
        <v>22.791269147413495</v>
      </c>
      <c r="G81" s="53">
        <f t="shared" si="5"/>
        <v>0</v>
      </c>
      <c r="H81" s="58">
        <f t="shared" si="7"/>
        <v>0.98464986031281387</v>
      </c>
      <c r="I81" s="58">
        <f t="shared" si="8"/>
        <v>0.79779496987629894</v>
      </c>
      <c r="J81" s="53">
        <f t="shared" si="9"/>
        <v>11.395634573706747</v>
      </c>
    </row>
    <row r="82" spans="5:10" x14ac:dyDescent="0.3">
      <c r="E82" s="2">
        <v>81</v>
      </c>
      <c r="F82" s="53">
        <f t="shared" si="6"/>
        <v>22.718057273052903</v>
      </c>
      <c r="G82" s="53">
        <f t="shared" si="5"/>
        <v>0</v>
      </c>
      <c r="H82" s="58">
        <f t="shared" si="7"/>
        <v>0.98148689201139405</v>
      </c>
      <c r="I82" s="58">
        <f t="shared" si="8"/>
        <v>0.795232231280115</v>
      </c>
      <c r="J82" s="53">
        <f t="shared" si="9"/>
        <v>11.359028636526451</v>
      </c>
    </row>
    <row r="83" spans="5:10" x14ac:dyDescent="0.3">
      <c r="E83" s="2">
        <v>82</v>
      </c>
      <c r="F83" s="53">
        <f t="shared" si="6"/>
        <v>22.64462494348048</v>
      </c>
      <c r="G83" s="53">
        <f t="shared" si="5"/>
        <v>0</v>
      </c>
      <c r="H83" s="58">
        <f t="shared" si="7"/>
        <v>0.97831439939642539</v>
      </c>
      <c r="I83" s="58">
        <f t="shared" si="8"/>
        <v>0.79266177577892027</v>
      </c>
      <c r="J83" s="53">
        <f t="shared" si="9"/>
        <v>11.32231247174024</v>
      </c>
    </row>
    <row r="84" spans="5:10" x14ac:dyDescent="0.3">
      <c r="E84" s="2">
        <v>83</v>
      </c>
      <c r="F84" s="53">
        <f t="shared" si="6"/>
        <v>22.570986831508616</v>
      </c>
      <c r="G84" s="53">
        <f t="shared" si="5"/>
        <v>0</v>
      </c>
      <c r="H84" s="58">
        <f t="shared" si="7"/>
        <v>0.97513301637655858</v>
      </c>
      <c r="I84" s="58">
        <f t="shared" si="8"/>
        <v>0.79008411698588166</v>
      </c>
      <c r="J84" s="53">
        <f t="shared" si="9"/>
        <v>11.285493415754308</v>
      </c>
    </row>
    <row r="85" spans="5:10" x14ac:dyDescent="0.3">
      <c r="E85" s="2">
        <v>84</v>
      </c>
      <c r="F85" s="53">
        <f t="shared" si="6"/>
        <v>22.497157072757663</v>
      </c>
      <c r="G85" s="53">
        <f t="shared" si="5"/>
        <v>0</v>
      </c>
      <c r="H85" s="58">
        <f t="shared" si="7"/>
        <v>0.97194335365216811</v>
      </c>
      <c r="I85" s="58">
        <f t="shared" si="8"/>
        <v>0.7874997497100743</v>
      </c>
      <c r="J85" s="53">
        <f t="shared" si="9"/>
        <v>11.248578536378831</v>
      </c>
    </row>
    <row r="86" spans="5:10" x14ac:dyDescent="0.3">
      <c r="E86" s="2">
        <v>85</v>
      </c>
      <c r="F86" s="53">
        <f t="shared" si="6"/>
        <v>22.423149289505314</v>
      </c>
      <c r="G86" s="53">
        <f t="shared" si="5"/>
        <v>0</v>
      </c>
      <c r="H86" s="58">
        <f t="shared" si="7"/>
        <v>0.96874599974571596</v>
      </c>
      <c r="I86" s="58">
        <f t="shared" si="8"/>
        <v>0.78490915079131596</v>
      </c>
      <c r="J86" s="53">
        <f t="shared" si="9"/>
        <v>11.211574644752657</v>
      </c>
    </row>
    <row r="87" spans="5:10" x14ac:dyDescent="0.3">
      <c r="E87" s="2">
        <v>86</v>
      </c>
      <c r="F87" s="53">
        <f t="shared" si="6"/>
        <v>22.348976613213601</v>
      </c>
      <c r="G87" s="53">
        <f t="shared" si="5"/>
        <v>0</v>
      </c>
      <c r="H87" s="58">
        <f t="shared" si="7"/>
        <v>0.96554152197498366</v>
      </c>
      <c r="I87" s="58">
        <f t="shared" si="8"/>
        <v>0.78231277988871062</v>
      </c>
      <c r="J87" s="53">
        <f t="shared" si="9"/>
        <v>11.174488306606801</v>
      </c>
    </row>
    <row r="88" spans="5:10" x14ac:dyDescent="0.3">
      <c r="E88" s="2">
        <v>87</v>
      </c>
      <c r="F88" s="53">
        <f t="shared" si="6"/>
        <v>22.274651705821626</v>
      </c>
      <c r="G88" s="53">
        <f t="shared" si="5"/>
        <v>0</v>
      </c>
      <c r="H88" s="58">
        <f t="shared" si="7"/>
        <v>0.96233046737298156</v>
      </c>
      <c r="I88" s="58">
        <f t="shared" si="8"/>
        <v>0.77971108022598823</v>
      </c>
      <c r="J88" s="53">
        <f t="shared" si="9"/>
        <v>11.137325852910813</v>
      </c>
    </row>
    <row r="89" spans="5:10" x14ac:dyDescent="0.3">
      <c r="E89" s="2">
        <v>88</v>
      </c>
      <c r="F89" s="53">
        <f t="shared" si="6"/>
        <v>22.200186779885396</v>
      </c>
      <c r="G89" s="53">
        <f t="shared" si="5"/>
        <v>0</v>
      </c>
      <c r="H89" s="58">
        <f t="shared" si="7"/>
        <v>0.95911336355804833</v>
      </c>
      <c r="I89" s="58">
        <f t="shared" si="8"/>
        <v>0.77710447929648818</v>
      </c>
      <c r="J89" s="53">
        <f t="shared" si="9"/>
        <v>11.100093389942698</v>
      </c>
    </row>
    <row r="90" spans="5:10" x14ac:dyDescent="0.3">
      <c r="E90" s="2">
        <v>89</v>
      </c>
      <c r="F90" s="53">
        <f t="shared" si="6"/>
        <v>22.125593617639865</v>
      </c>
      <c r="G90" s="53">
        <f t="shared" si="5"/>
        <v>0</v>
      </c>
      <c r="H90" s="58">
        <f t="shared" si="7"/>
        <v>0.95589071955738769</v>
      </c>
      <c r="I90" s="58">
        <f t="shared" si="8"/>
        <v>0.77449338953041402</v>
      </c>
      <c r="J90" s="53">
        <f t="shared" si="9"/>
        <v>11.062796808819932</v>
      </c>
    </row>
    <row r="91" spans="5:10" x14ac:dyDescent="0.3">
      <c r="E91" s="2">
        <v>90</v>
      </c>
      <c r="F91" s="53">
        <f t="shared" si="6"/>
        <v>22.050883589052553</v>
      </c>
      <c r="G91" s="53">
        <f t="shared" si="5"/>
        <v>0</v>
      </c>
      <c r="H91" s="58">
        <f t="shared" si="7"/>
        <v>0.95266302658703761</v>
      </c>
      <c r="I91" s="58">
        <f t="shared" si="8"/>
        <v>0.77187820892679082</v>
      </c>
      <c r="J91" s="53">
        <f t="shared" si="9"/>
        <v>11.025441794526277</v>
      </c>
    </row>
    <row r="92" spans="5:10" x14ac:dyDescent="0.3">
      <c r="E92" s="2">
        <v>91</v>
      </c>
      <c r="F92" s="53">
        <f t="shared" si="6"/>
        <v>21.976067668933041</v>
      </c>
      <c r="G92" s="53">
        <f t="shared" si="5"/>
        <v>0</v>
      </c>
      <c r="H92" s="58">
        <f t="shared" si="7"/>
        <v>0.94943075879105099</v>
      </c>
      <c r="I92" s="58">
        <f t="shared" si="8"/>
        <v>0.7692593216523721</v>
      </c>
      <c r="J92" s="53">
        <f t="shared" si="9"/>
        <v>10.98803383446652</v>
      </c>
    </row>
    <row r="93" spans="5:10" x14ac:dyDescent="0.3">
      <c r="E93" s="2">
        <v>92</v>
      </c>
      <c r="F93" s="53">
        <f t="shared" si="6"/>
        <v>21.901156453157643</v>
      </c>
      <c r="G93" s="53">
        <f t="shared" si="5"/>
        <v>0</v>
      </c>
      <c r="H93" s="58">
        <f t="shared" si="7"/>
        <v>0.94619437394244854</v>
      </c>
      <c r="I93" s="58">
        <f t="shared" si="8"/>
        <v>0.76663709860957541</v>
      </c>
      <c r="J93" s="53">
        <f t="shared" si="9"/>
        <v>10.950578226578822</v>
      </c>
    </row>
    <row r="94" spans="5:10" x14ac:dyDescent="0.3">
      <c r="E94" s="2">
        <v>93</v>
      </c>
      <c r="F94" s="53">
        <f t="shared" si="6"/>
        <v>21.826160174064409</v>
      </c>
      <c r="G94" s="53">
        <f t="shared" si="5"/>
        <v>0</v>
      </c>
      <c r="H94" s="58">
        <f t="shared" si="7"/>
        <v>0.94295431410832931</v>
      </c>
      <c r="I94" s="58">
        <f t="shared" si="8"/>
        <v>0.76401189797537494</v>
      </c>
      <c r="J94" s="53">
        <f t="shared" si="9"/>
        <v>10.913080087032204</v>
      </c>
    </row>
    <row r="95" spans="5:10" x14ac:dyDescent="0.3">
      <c r="E95" s="2">
        <v>94</v>
      </c>
      <c r="F95" s="53">
        <f t="shared" si="6"/>
        <v>21.751088715069635</v>
      </c>
      <c r="G95" s="53">
        <f t="shared" si="5"/>
        <v>0</v>
      </c>
      <c r="H95" s="58">
        <f t="shared" si="7"/>
        <v>0.93971100628134618</v>
      </c>
      <c r="I95" s="58">
        <f t="shared" si="8"/>
        <v>0.7613840657129447</v>
      </c>
      <c r="J95" s="53">
        <f t="shared" si="9"/>
        <v>10.875544357534817</v>
      </c>
    </row>
    <row r="96" spans="5:10" x14ac:dyDescent="0.3">
      <c r="E96" s="2">
        <v>95</v>
      </c>
      <c r="F96" s="53">
        <f t="shared" si="6"/>
        <v>21.675951624553104</v>
      </c>
      <c r="G96" s="53">
        <f t="shared" si="5"/>
        <v>0</v>
      </c>
      <c r="H96" s="58">
        <f t="shared" si="7"/>
        <v>0.93646486297958942</v>
      </c>
      <c r="I96" s="58">
        <f t="shared" si="8"/>
        <v>0.75875393605770214</v>
      </c>
      <c r="J96" s="53">
        <f t="shared" si="9"/>
        <v>10.837975812276552</v>
      </c>
    </row>
    <row r="97" spans="5:10" x14ac:dyDescent="0.3">
      <c r="E97" s="2">
        <v>96</v>
      </c>
      <c r="F97" s="53">
        <f t="shared" si="6"/>
        <v>21.600758129056285</v>
      </c>
      <c r="G97" s="53">
        <f>F97*0%</f>
        <v>0</v>
      </c>
      <c r="H97" s="58">
        <f t="shared" si="7"/>
        <v>0.93321628281678715</v>
      </c>
      <c r="I97" s="58">
        <f t="shared" si="8"/>
        <v>0.75612183197930394</v>
      </c>
      <c r="J97" s="53">
        <f t="shared" si="9"/>
        <v>10.800379064528142</v>
      </c>
    </row>
    <row r="98" spans="5:10" x14ac:dyDescent="0.3">
      <c r="E98" s="2">
        <v>97</v>
      </c>
      <c r="F98" s="53">
        <f t="shared" si="6"/>
        <v>21.525517145834371</v>
      </c>
      <c r="G98" s="53">
        <f>F98*$B$14</f>
        <v>21.525517145834371</v>
      </c>
      <c r="H98" s="58">
        <f t="shared" si="7"/>
        <v>0.92996565104459106</v>
      </c>
      <c r="I98" s="58">
        <f t="shared" si="8"/>
        <v>0.75348806562102266</v>
      </c>
      <c r="J98" s="53">
        <f t="shared" si="9"/>
        <v>10.762758572917186</v>
      </c>
    </row>
    <row r="99" spans="5:10" x14ac:dyDescent="0.3">
      <c r="E99" s="2">
        <v>98</v>
      </c>
      <c r="F99" s="53">
        <f t="shared" si="6"/>
        <v>21.450237294800267</v>
      </c>
      <c r="G99" s="53">
        <f t="shared" ref="G99:G105" si="10">F99*$B$14</f>
        <v>21.450237294800267</v>
      </c>
      <c r="H99" s="58">
        <f t="shared" si="7"/>
        <v>0.92671334006859107</v>
      </c>
      <c r="I99" s="58">
        <f t="shared" si="8"/>
        <v>0.7508529387178392</v>
      </c>
      <c r="J99" s="53">
        <f t="shared" si="9"/>
        <v>10.725118647400134</v>
      </c>
    </row>
    <row r="100" spans="5:10" x14ac:dyDescent="0.3">
      <c r="E100" s="2">
        <v>99</v>
      </c>
      <c r="F100" s="53">
        <f t="shared" si="6"/>
        <v>21.374926909896082</v>
      </c>
      <c r="G100" s="53">
        <f t="shared" si="10"/>
        <v>21.374926909896082</v>
      </c>
      <c r="H100" s="58">
        <f t="shared" si="7"/>
        <v>0.92345970993959825</v>
      </c>
      <c r="I100" s="58">
        <f t="shared" si="8"/>
        <v>0.74821674299449459</v>
      </c>
      <c r="J100" s="53">
        <f t="shared" si="9"/>
        <v>10.687463454948041</v>
      </c>
    </row>
    <row r="101" spans="5:10" x14ac:dyDescent="0.3">
      <c r="E101" s="2">
        <v>100</v>
      </c>
      <c r="F101" s="53">
        <f t="shared" si="6"/>
        <v>21.299594049925112</v>
      </c>
      <c r="G101" s="53">
        <f t="shared" si="10"/>
        <v>21.299594049925112</v>
      </c>
      <c r="H101" s="58">
        <f t="shared" si="7"/>
        <v>0.92020510882161721</v>
      </c>
      <c r="I101" s="58">
        <f t="shared" si="8"/>
        <v>0.7455797605446578</v>
      </c>
      <c r="J101" s="53">
        <f t="shared" si="9"/>
        <v>10.649797024962556</v>
      </c>
    </row>
    <row r="102" spans="5:10" x14ac:dyDescent="0.3">
      <c r="E102" s="2">
        <v>101</v>
      </c>
      <c r="F102" s="53">
        <f t="shared" si="6"/>
        <v>21.224246508875218</v>
      </c>
      <c r="G102" s="53">
        <f t="shared" si="10"/>
        <v>21.224246508875218</v>
      </c>
      <c r="H102" s="58">
        <f t="shared" si="7"/>
        <v>0.91694987343784684</v>
      </c>
      <c r="I102" s="58">
        <f t="shared" si="8"/>
        <v>0.74294226419228915</v>
      </c>
      <c r="J102" s="53">
        <f>F102/$B$25</f>
        <v>7.0747488362917395</v>
      </c>
    </row>
    <row r="103" spans="5:10" x14ac:dyDescent="0.3">
      <c r="E103" s="2">
        <v>102</v>
      </c>
      <c r="F103" s="53">
        <f t="shared" si="6"/>
        <v>21.148891825762401</v>
      </c>
      <c r="G103" s="53">
        <f t="shared" si="10"/>
        <v>21.148891825762401</v>
      </c>
      <c r="H103" s="58">
        <f t="shared" si="7"/>
        <v>0.91369432949595231</v>
      </c>
      <c r="I103" s="58">
        <f t="shared" si="8"/>
        <v>0.74030451783620932</v>
      </c>
      <c r="J103" s="53">
        <f t="shared" ref="J103:J166" si="11">F103/$B$25</f>
        <v>7.0496306085874672</v>
      </c>
    </row>
    <row r="104" spans="5:10" x14ac:dyDescent="0.3">
      <c r="E104" s="2">
        <v>103</v>
      </c>
      <c r="F104" s="53">
        <f t="shared" si="6"/>
        <v>21.073537294021417</v>
      </c>
      <c r="G104" s="53">
        <f t="shared" si="10"/>
        <v>21.073537294021417</v>
      </c>
      <c r="H104" s="58">
        <f t="shared" si="7"/>
        <v>0.9104387920937661</v>
      </c>
      <c r="I104" s="58">
        <f t="shared" si="8"/>
        <v>0.73766677677881132</v>
      </c>
      <c r="J104" s="53">
        <f t="shared" si="11"/>
        <v>7.0245124313404723</v>
      </c>
    </row>
    <row r="105" spans="5:10" x14ac:dyDescent="0.3">
      <c r="E105" s="2">
        <v>104</v>
      </c>
      <c r="F105" s="53">
        <f t="shared" si="6"/>
        <v>20.998189970468516</v>
      </c>
      <c r="G105" s="53">
        <f t="shared" si="10"/>
        <v>20.998189970468516</v>
      </c>
      <c r="H105" s="58">
        <f t="shared" si="7"/>
        <v>0.90718356610650563</v>
      </c>
      <c r="I105" s="58">
        <f t="shared" si="8"/>
        <v>0.73502928803979695</v>
      </c>
      <c r="J105" s="53">
        <f t="shared" si="11"/>
        <v>6.9993966568228387</v>
      </c>
    </row>
    <row r="106" spans="5:10" x14ac:dyDescent="0.3">
      <c r="E106" s="2">
        <v>105</v>
      </c>
      <c r="F106" s="53">
        <f t="shared" si="6"/>
        <v>20.922856683860019</v>
      </c>
      <c r="G106" s="53">
        <f>F106*$B$15</f>
        <v>5.0214856041264042</v>
      </c>
      <c r="H106" s="58">
        <f t="shared" si="7"/>
        <v>0.90392894655652856</v>
      </c>
      <c r="I106" s="58">
        <f t="shared" si="8"/>
        <v>0.7323922906557645</v>
      </c>
      <c r="J106" s="53">
        <f t="shared" si="11"/>
        <v>6.9742855612866732</v>
      </c>
    </row>
    <row r="107" spans="5:10" x14ac:dyDescent="0.3">
      <c r="E107" s="2">
        <v>106</v>
      </c>
      <c r="F107" s="53">
        <f t="shared" si="6"/>
        <v>20.847544043068392</v>
      </c>
      <c r="G107" s="53">
        <f t="shared" ref="G107:G133" si="12">F107*$B$15</f>
        <v>5.0034105703364142</v>
      </c>
      <c r="H107" s="58">
        <f t="shared" si="7"/>
        <v>0.90067521896656322</v>
      </c>
      <c r="I107" s="58">
        <f t="shared" si="8"/>
        <v>0.72975601596640716</v>
      </c>
      <c r="J107" s="53">
        <f t="shared" si="11"/>
        <v>6.9491813476894642</v>
      </c>
    </row>
    <row r="108" spans="5:10" x14ac:dyDescent="0.3">
      <c r="E108" s="2">
        <v>107</v>
      </c>
      <c r="F108" s="53">
        <f t="shared" si="6"/>
        <v>20.77225844489675</v>
      </c>
      <c r="G108" s="53">
        <f t="shared" si="12"/>
        <v>4.9853420267752195</v>
      </c>
      <c r="H108" s="58">
        <f t="shared" si="7"/>
        <v>0.89742265969731827</v>
      </c>
      <c r="I108" s="58">
        <f t="shared" si="8"/>
        <v>0.72712068788805473</v>
      </c>
      <c r="J108" s="53">
        <f t="shared" si="11"/>
        <v>6.9240861482989162</v>
      </c>
    </row>
    <row r="109" spans="5:10" x14ac:dyDescent="0.3">
      <c r="E109" s="2">
        <v>108</v>
      </c>
      <c r="F109" s="53">
        <f t="shared" si="6"/>
        <v>20.697006081550835</v>
      </c>
      <c r="G109" s="53">
        <f t="shared" si="12"/>
        <v>4.9672814595722006</v>
      </c>
      <c r="H109" s="58">
        <f t="shared" si="7"/>
        <v>0.89417153627029433</v>
      </c>
      <c r="I109" s="58">
        <f t="shared" si="8"/>
        <v>0.7244865231752271</v>
      </c>
      <c r="J109" s="53">
        <f t="shared" si="11"/>
        <v>6.8990020271836121</v>
      </c>
    </row>
    <row r="110" spans="5:10" x14ac:dyDescent="0.3">
      <c r="E110" s="2">
        <v>109</v>
      </c>
      <c r="F110" s="53">
        <f t="shared" si="6"/>
        <v>20.621792947786737</v>
      </c>
      <c r="G110" s="53">
        <f t="shared" si="12"/>
        <v>4.9492303074688166</v>
      </c>
      <c r="H110" s="58">
        <f t="shared" si="7"/>
        <v>0.89092210767658597</v>
      </c>
      <c r="I110" s="58">
        <f t="shared" si="8"/>
        <v>0.72185373167083466</v>
      </c>
      <c r="J110" s="53">
        <f t="shared" si="11"/>
        <v>6.8739309825955788</v>
      </c>
    </row>
    <row r="111" spans="5:10" x14ac:dyDescent="0.3">
      <c r="E111" s="2">
        <v>110</v>
      </c>
      <c r="F111" s="53">
        <f t="shared" si="6"/>
        <v>20.546624847751207</v>
      </c>
      <c r="G111" s="53">
        <f t="shared" si="12"/>
        <v>4.93118996346029</v>
      </c>
      <c r="H111" s="58">
        <f t="shared" si="7"/>
        <v>0.8876746246724041</v>
      </c>
      <c r="I111" s="58">
        <f t="shared" si="8"/>
        <v>0.71922251654562042</v>
      </c>
      <c r="J111" s="53">
        <f t="shared" si="11"/>
        <v>6.8488749492504022</v>
      </c>
    </row>
    <row r="112" spans="5:10" x14ac:dyDescent="0.3">
      <c r="E112" s="2">
        <v>111</v>
      </c>
      <c r="F112" s="53">
        <f t="shared" si="6"/>
        <v>20.471507401530626</v>
      </c>
      <c r="G112" s="53">
        <f t="shared" si="12"/>
        <v>4.9131617763673505</v>
      </c>
      <c r="H112" s="58">
        <f t="shared" si="7"/>
        <v>0.88442933006200963</v>
      </c>
      <c r="I112" s="58">
        <f t="shared" si="8"/>
        <v>0.71659307452740206</v>
      </c>
      <c r="J112" s="53">
        <f t="shared" si="11"/>
        <v>6.8238358005102091</v>
      </c>
    </row>
    <row r="113" spans="5:10" x14ac:dyDescent="0.3">
      <c r="E113" s="2">
        <v>112</v>
      </c>
      <c r="F113" s="53">
        <f t="shared" si="6"/>
        <v>20.39644605142351</v>
      </c>
      <c r="G113" s="53">
        <f t="shared" si="12"/>
        <v>4.8951470523416418</v>
      </c>
      <c r="H113" s="58">
        <f t="shared" si="7"/>
        <v>0.88118645896870529</v>
      </c>
      <c r="I113" s="58">
        <f t="shared" si="8"/>
        <v>0.71396559612063781</v>
      </c>
      <c r="J113" s="53">
        <f t="shared" si="11"/>
        <v>6.798815350474503</v>
      </c>
    </row>
    <row r="114" spans="5:10" x14ac:dyDescent="0.3">
      <c r="E114" s="2">
        <v>113</v>
      </c>
      <c r="F114" s="53">
        <f t="shared" si="6"/>
        <v>20.321446067950646</v>
      </c>
      <c r="G114" s="53">
        <f t="shared" si="12"/>
        <v>4.8771470563081545</v>
      </c>
      <c r="H114" s="58">
        <f t="shared" si="7"/>
        <v>0.87794623909449088</v>
      </c>
      <c r="I114" s="58">
        <f t="shared" si="8"/>
        <v>0.71134026581680754</v>
      </c>
      <c r="J114" s="53">
        <f t="shared" si="11"/>
        <v>6.7738153559835483</v>
      </c>
    </row>
    <row r="115" spans="5:10" x14ac:dyDescent="0.3">
      <c r="E115" s="2">
        <v>114</v>
      </c>
      <c r="F115" s="53">
        <f t="shared" si="6"/>
        <v>20.246512555616167</v>
      </c>
      <c r="G115" s="53">
        <f t="shared" si="12"/>
        <v>4.8591630133478798</v>
      </c>
      <c r="H115" s="58">
        <f t="shared" si="7"/>
        <v>0.87470889096895821</v>
      </c>
      <c r="I115" s="58">
        <f t="shared" si="8"/>
        <v>0.70871726229607579</v>
      </c>
      <c r="J115" s="53">
        <f t="shared" si="11"/>
        <v>6.7488375185387222</v>
      </c>
    </row>
    <row r="116" spans="5:10" x14ac:dyDescent="0.3">
      <c r="E116" s="2">
        <v>115</v>
      </c>
      <c r="F116" s="53">
        <f t="shared" si="6"/>
        <v>20.171650458431895</v>
      </c>
      <c r="G116" s="53">
        <f t="shared" si="12"/>
        <v>4.8411961100236542</v>
      </c>
      <c r="H116" s="58">
        <f t="shared" si="7"/>
        <v>0.87147462818795873</v>
      </c>
      <c r="I116" s="58">
        <f t="shared" si="8"/>
        <v>0.70609675862066812</v>
      </c>
      <c r="J116" s="53">
        <f t="shared" si="11"/>
        <v>6.7238834861439649</v>
      </c>
    </row>
    <row r="117" spans="5:10" x14ac:dyDescent="0.3">
      <c r="E117" s="2">
        <v>116</v>
      </c>
      <c r="F117" s="53">
        <f t="shared" si="6"/>
        <v>20.096864565216801</v>
      </c>
      <c r="G117" s="53">
        <f t="shared" si="12"/>
        <v>4.8232474956520326</v>
      </c>
      <c r="H117" s="58">
        <f t="shared" si="7"/>
        <v>0.86824365764255729</v>
      </c>
      <c r="I117" s="58">
        <f t="shared" si="8"/>
        <v>0.70347892242037557</v>
      </c>
      <c r="J117" s="53">
        <f t="shared" si="11"/>
        <v>6.6989548550722668</v>
      </c>
    </row>
    <row r="118" spans="5:10" x14ac:dyDescent="0.3">
      <c r="E118" s="2">
        <v>117</v>
      </c>
      <c r="F118" s="53">
        <f t="shared" si="6"/>
        <v>20.022159514682588</v>
      </c>
      <c r="G118" s="53">
        <f t="shared" si="12"/>
        <v>4.8053182835238211</v>
      </c>
      <c r="H118" s="58">
        <f t="shared" si="7"/>
        <v>0.86501617973874245</v>
      </c>
      <c r="I118" s="58">
        <f t="shared" si="8"/>
        <v>0.70086391607057275</v>
      </c>
      <c r="J118" s="53">
        <f t="shared" si="11"/>
        <v>6.6740531715608631</v>
      </c>
    </row>
    <row r="119" spans="5:10" x14ac:dyDescent="0.3">
      <c r="E119" s="2">
        <v>118</v>
      </c>
      <c r="F119" s="53">
        <f t="shared" si="6"/>
        <v>19.947539800315734</v>
      </c>
      <c r="G119" s="53">
        <f t="shared" si="12"/>
        <v>4.7874095520757765</v>
      </c>
      <c r="H119" s="58">
        <f t="shared" si="7"/>
        <v>0.86179238860834617</v>
      </c>
      <c r="I119" s="58">
        <f t="shared" si="8"/>
        <v>0.69825189686311073</v>
      </c>
      <c r="J119" s="53">
        <f t="shared" si="11"/>
        <v>6.6491799334385782</v>
      </c>
    </row>
    <row r="120" spans="5:10" x14ac:dyDescent="0.3">
      <c r="E120" s="2">
        <v>119</v>
      </c>
      <c r="F120" s="53">
        <f t="shared" si="6"/>
        <v>19.873009775065974</v>
      </c>
      <c r="G120" s="53">
        <f t="shared" si="12"/>
        <v>4.7695223460158331</v>
      </c>
      <c r="H120" s="58">
        <f t="shared" si="7"/>
        <v>0.85857247231159983</v>
      </c>
      <c r="I120" s="58">
        <f t="shared" si="8"/>
        <v>0.6956430171704342</v>
      </c>
      <c r="J120" s="53">
        <f t="shared" si="11"/>
        <v>6.6243365916886576</v>
      </c>
    </row>
    <row r="121" spans="5:10" x14ac:dyDescent="0.3">
      <c r="E121" s="2">
        <v>120</v>
      </c>
      <c r="F121" s="53">
        <f t="shared" si="6"/>
        <v>19.798573655850323</v>
      </c>
      <c r="G121" s="53">
        <f t="shared" si="12"/>
        <v>4.7516576774040775</v>
      </c>
      <c r="H121" s="58">
        <f t="shared" si="7"/>
        <v>0.85535661303172139</v>
      </c>
      <c r="I121" s="58">
        <f t="shared" si="8"/>
        <v>0.69303742460324291</v>
      </c>
      <c r="J121" s="53">
        <f t="shared" si="11"/>
        <v>6.5995245519501076</v>
      </c>
    </row>
    <row r="122" spans="5:10" x14ac:dyDescent="0.3">
      <c r="E122" s="2">
        <v>121</v>
      </c>
      <c r="F122" s="53">
        <f t="shared" si="6"/>
        <v>19.724235527881532</v>
      </c>
      <c r="G122" s="53">
        <f t="shared" si="12"/>
        <v>4.7338165266915677</v>
      </c>
      <c r="H122" s="58">
        <f t="shared" si="7"/>
        <v>0.85214498726191679</v>
      </c>
      <c r="I122" s="58">
        <f t="shared" si="8"/>
        <v>0.6904352621620059</v>
      </c>
      <c r="J122" s="53">
        <f t="shared" si="11"/>
        <v>6.5747451759605111</v>
      </c>
    </row>
    <row r="123" spans="5:10" x14ac:dyDescent="0.3">
      <c r="E123" s="2">
        <v>122</v>
      </c>
      <c r="F123" s="53">
        <f t="shared" si="6"/>
        <v>19.649999348829073</v>
      </c>
      <c r="G123" s="53">
        <f t="shared" si="12"/>
        <v>4.7159998437189774</v>
      </c>
      <c r="H123" s="58">
        <f t="shared" si="7"/>
        <v>0.84893776598514747</v>
      </c>
      <c r="I123" s="58">
        <f t="shared" si="8"/>
        <v>0.68783666838261526</v>
      </c>
      <c r="J123" s="53">
        <f t="shared" si="11"/>
        <v>6.5499997829430248</v>
      </c>
    </row>
    <row r="124" spans="5:10" x14ac:dyDescent="0.3">
      <c r="E124" s="2">
        <v>123</v>
      </c>
      <c r="F124" s="53">
        <f t="shared" si="6"/>
        <v>19.575868952820656</v>
      </c>
      <c r="G124" s="53">
        <f t="shared" si="12"/>
        <v>4.6982085486769574</v>
      </c>
      <c r="H124" s="58">
        <f t="shared" si="7"/>
        <v>0.84573511484700736</v>
      </c>
      <c r="I124" s="58">
        <f t="shared" si="8"/>
        <v>0.68524177747645576</v>
      </c>
      <c r="J124" s="53">
        <f t="shared" si="11"/>
        <v>6.525289650940219</v>
      </c>
    </row>
    <row r="125" spans="5:10" x14ac:dyDescent="0.3">
      <c r="E125" s="2">
        <v>124</v>
      </c>
      <c r="F125" s="53">
        <f t="shared" si="6"/>
        <v>19.501848054291493</v>
      </c>
      <c r="G125" s="53">
        <f t="shared" si="12"/>
        <v>4.6804435330299583</v>
      </c>
      <c r="H125" s="58">
        <f t="shared" si="7"/>
        <v>0.84253719432202245</v>
      </c>
      <c r="I125" s="58">
        <f t="shared" si="8"/>
        <v>0.68265071946514755</v>
      </c>
      <c r="J125" s="53">
        <f t="shared" si="11"/>
        <v>6.5006160180971646</v>
      </c>
    </row>
    <row r="126" spans="5:10" x14ac:dyDescent="0.3">
      <c r="E126" s="2">
        <v>125</v>
      </c>
      <c r="F126" s="53">
        <f t="shared" si="6"/>
        <v>19.42794025168833</v>
      </c>
      <c r="G126" s="53">
        <f t="shared" si="12"/>
        <v>4.6627056604051988</v>
      </c>
      <c r="H126" s="58">
        <f t="shared" si="7"/>
        <v>0.83934415987367572</v>
      </c>
      <c r="I126" s="58">
        <f t="shared" si="8"/>
        <v>0.68006362031020173</v>
      </c>
      <c r="J126" s="53">
        <f t="shared" si="11"/>
        <v>6.4759800838961104</v>
      </c>
    </row>
    <row r="127" spans="5:10" x14ac:dyDescent="0.3">
      <c r="E127" s="2">
        <v>126</v>
      </c>
      <c r="F127" s="53">
        <f t="shared" si="6"/>
        <v>19.354149031034989</v>
      </c>
      <c r="G127" s="53">
        <f t="shared" si="12"/>
        <v>4.644995767448397</v>
      </c>
      <c r="H127" s="58">
        <f t="shared" si="7"/>
        <v>0.83615616210844945</v>
      </c>
      <c r="I127" s="58">
        <f t="shared" si="8"/>
        <v>0.677480602037832</v>
      </c>
      <c r="J127" s="53">
        <f t="shared" si="11"/>
        <v>6.4513830103449967</v>
      </c>
    </row>
    <row r="128" spans="5:10" x14ac:dyDescent="0.3">
      <c r="E128" s="2">
        <v>127</v>
      </c>
      <c r="F128" s="53">
        <f t="shared" si="6"/>
        <v>19.280477769365394</v>
      </c>
      <c r="G128" s="53">
        <f t="shared" si="12"/>
        <v>4.6273146646476944</v>
      </c>
      <c r="H128" s="58">
        <f t="shared" si="7"/>
        <v>0.83297334692414171</v>
      </c>
      <c r="I128" s="58">
        <f t="shared" si="8"/>
        <v>0.67490178285912406</v>
      </c>
      <c r="J128" s="53">
        <f t="shared" si="11"/>
        <v>6.4268259231217977</v>
      </c>
    </row>
    <row r="129" spans="5:10" x14ac:dyDescent="0.3">
      <c r="E129" s="2">
        <v>128</v>
      </c>
      <c r="F129" s="53">
        <f t="shared" si="6"/>
        <v>19.206929738030311</v>
      </c>
      <c r="G129" s="53">
        <f t="shared" si="12"/>
        <v>4.6096631371272743</v>
      </c>
      <c r="H129" s="58">
        <f t="shared" si="7"/>
        <v>0.82979585565272684</v>
      </c>
      <c r="I129" s="58">
        <f t="shared" si="8"/>
        <v>0.67232727728578734</v>
      </c>
      <c r="J129" s="53">
        <f t="shared" si="11"/>
        <v>6.4023099126767704</v>
      </c>
    </row>
    <row r="130" spans="5:10" x14ac:dyDescent="0.3">
      <c r="E130" s="2">
        <v>129</v>
      </c>
      <c r="F130" s="53">
        <f t="shared" si="6"/>
        <v>19.133508105883216</v>
      </c>
      <c r="G130" s="53">
        <f t="shared" si="12"/>
        <v>4.5920419454119719</v>
      </c>
      <c r="H130" s="58">
        <f t="shared" si="7"/>
        <v>0.82662382519799538</v>
      </c>
      <c r="I130" s="58">
        <f t="shared" si="8"/>
        <v>0.66975719624167374</v>
      </c>
      <c r="J130" s="53">
        <f t="shared" si="11"/>
        <v>6.377836035294405</v>
      </c>
    </row>
    <row r="131" spans="5:10" x14ac:dyDescent="0.3">
      <c r="E131" s="2">
        <v>130</v>
      </c>
      <c r="F131" s="53">
        <f t="shared" ref="F131:F194" si="13">$B$4*E131^$B$5*EXP(-$B$6*E131)</f>
        <v>19.060215942350645</v>
      </c>
      <c r="G131" s="53">
        <f t="shared" si="12"/>
        <v>4.5744518261641547</v>
      </c>
      <c r="H131" s="58">
        <f t="shared" ref="H131:H194" si="14">F131*$B$19/100</f>
        <v>0.82345738816820147</v>
      </c>
      <c r="I131" s="58">
        <f t="shared" ref="I131:I194" si="15">F131*$B$20/100</f>
        <v>0.66719164717025337</v>
      </c>
      <c r="J131" s="53">
        <f t="shared" si="11"/>
        <v>6.3534053141168814</v>
      </c>
    </row>
    <row r="132" spans="5:10" x14ac:dyDescent="0.3">
      <c r="E132" s="2">
        <v>131</v>
      </c>
      <c r="F132" s="53">
        <f t="shared" si="13"/>
        <v>18.987056220392141</v>
      </c>
      <c r="G132" s="53">
        <f t="shared" si="12"/>
        <v>4.5568934928941136</v>
      </c>
      <c r="H132" s="58">
        <f t="shared" si="14"/>
        <v>0.82029667300394127</v>
      </c>
      <c r="I132" s="58">
        <f t="shared" si="15"/>
        <v>0.6646307341382266</v>
      </c>
      <c r="J132" s="53">
        <f t="shared" si="11"/>
        <v>6.3290187401307136</v>
      </c>
    </row>
    <row r="133" spans="5:10" x14ac:dyDescent="0.3">
      <c r="E133" s="2">
        <v>132</v>
      </c>
      <c r="F133" s="53">
        <f t="shared" si="13"/>
        <v>18.914031819354534</v>
      </c>
      <c r="G133" s="53">
        <f t="shared" si="12"/>
        <v>4.5393676366450881</v>
      </c>
      <c r="H133" s="58">
        <f t="shared" si="14"/>
        <v>0.81714180410146653</v>
      </c>
      <c r="I133" s="58">
        <f t="shared" si="15"/>
        <v>0.66207455793543513</v>
      </c>
      <c r="J133" s="53">
        <f t="shared" si="11"/>
        <v>6.3046772731181777</v>
      </c>
    </row>
    <row r="134" spans="5:10" x14ac:dyDescent="0.3">
      <c r="E134" s="2">
        <v>133</v>
      </c>
      <c r="F134" s="53">
        <f t="shared" si="13"/>
        <v>18.841145527725043</v>
      </c>
      <c r="G134" s="53">
        <f>F134*$B$16</f>
        <v>2.072526008049755</v>
      </c>
      <c r="H134" s="58">
        <f t="shared" si="14"/>
        <v>0.81399290193162654</v>
      </c>
      <c r="I134" s="58">
        <f t="shared" si="15"/>
        <v>0.65952321617123399</v>
      </c>
      <c r="J134" s="53">
        <f t="shared" si="11"/>
        <v>6.2803818425750144</v>
      </c>
    </row>
    <row r="135" spans="5:10" x14ac:dyDescent="0.3">
      <c r="E135" s="2">
        <v>134</v>
      </c>
      <c r="F135" s="53">
        <f t="shared" si="13"/>
        <v>18.768400045787693</v>
      </c>
      <c r="G135" s="53">
        <f t="shared" ref="G135:G168" si="16">F135*$B$16</f>
        <v>2.0645240050366462</v>
      </c>
      <c r="H135" s="58">
        <f t="shared" si="14"/>
        <v>0.81085008315463325</v>
      </c>
      <c r="I135" s="58">
        <f t="shared" si="15"/>
        <v>0.65697680336747699</v>
      </c>
      <c r="J135" s="53">
        <f t="shared" si="11"/>
        <v>6.2561333485958981</v>
      </c>
    </row>
    <row r="136" spans="5:10" x14ac:dyDescent="0.3">
      <c r="E136" s="2">
        <v>135</v>
      </c>
      <c r="F136" s="53">
        <f t="shared" si="13"/>
        <v>18.695797988186921</v>
      </c>
      <c r="G136" s="53">
        <f t="shared" si="16"/>
        <v>2.0565377787005614</v>
      </c>
      <c r="H136" s="58">
        <f t="shared" si="14"/>
        <v>0.8077134607308164</v>
      </c>
      <c r="I136" s="58">
        <f t="shared" si="15"/>
        <v>0.65443541104825476</v>
      </c>
      <c r="J136" s="53">
        <f t="shared" si="11"/>
        <v>6.2319326627289735</v>
      </c>
    </row>
    <row r="137" spans="5:10" x14ac:dyDescent="0.3">
      <c r="E137" s="2">
        <v>136</v>
      </c>
      <c r="F137" s="53">
        <f t="shared" si="13"/>
        <v>18.623341886402429</v>
      </c>
      <c r="G137" s="53">
        <f t="shared" si="16"/>
        <v>2.0485676075042671</v>
      </c>
      <c r="H137" s="58">
        <f t="shared" si="14"/>
        <v>0.80458314402754449</v>
      </c>
      <c r="I137" s="58">
        <f t="shared" si="15"/>
        <v>0.65189912782652482</v>
      </c>
      <c r="J137" s="53">
        <f t="shared" si="11"/>
        <v>6.2077806288008093</v>
      </c>
    </row>
    <row r="138" spans="5:10" x14ac:dyDescent="0.3">
      <c r="E138" s="2">
        <v>137</v>
      </c>
      <c r="F138" s="53">
        <f t="shared" si="13"/>
        <v>18.551034191138942</v>
      </c>
      <c r="G138" s="53">
        <f t="shared" si="16"/>
        <v>2.0406137610252837</v>
      </c>
      <c r="H138" s="58">
        <f t="shared" si="14"/>
        <v>0.80145923892246995</v>
      </c>
      <c r="I138" s="58">
        <f t="shared" si="15"/>
        <v>0.64936803948776489</v>
      </c>
      <c r="J138" s="53">
        <f t="shared" si="11"/>
        <v>6.1836780637129811</v>
      </c>
    </row>
    <row r="139" spans="5:10" x14ac:dyDescent="0.3">
      <c r="E139" s="2">
        <v>138</v>
      </c>
      <c r="F139" s="53">
        <f t="shared" si="13"/>
        <v>18.478877274634353</v>
      </c>
      <c r="G139" s="53">
        <f t="shared" si="16"/>
        <v>2.0326765002097789</v>
      </c>
      <c r="H139" s="58">
        <f t="shared" si="14"/>
        <v>0.7983418479032468</v>
      </c>
      <c r="I139" s="58">
        <f t="shared" si="15"/>
        <v>0.64684222907076672</v>
      </c>
      <c r="J139" s="53">
        <f t="shared" si="11"/>
        <v>6.1596257582114511</v>
      </c>
    </row>
    <row r="140" spans="5:10" x14ac:dyDescent="0.3">
      <c r="E140" s="2">
        <v>139</v>
      </c>
      <c r="F140" s="53">
        <f t="shared" si="13"/>
        <v>18.406873432889693</v>
      </c>
      <c r="G140" s="53">
        <f t="shared" si="16"/>
        <v>2.0247560776178664</v>
      </c>
      <c r="H140" s="58">
        <f t="shared" si="14"/>
        <v>0.79523107016387229</v>
      </c>
      <c r="I140" s="58">
        <f t="shared" si="15"/>
        <v>0.64432177694569603</v>
      </c>
      <c r="J140" s="53">
        <f t="shared" si="11"/>
        <v>6.1356244776298974</v>
      </c>
    </row>
    <row r="141" spans="5:10" x14ac:dyDescent="0.3">
      <c r="E141" s="2">
        <v>140</v>
      </c>
      <c r="F141" s="53">
        <f t="shared" si="13"/>
        <v>18.335024887824005</v>
      </c>
      <c r="G141" s="53">
        <f t="shared" si="16"/>
        <v>2.0168527376606407</v>
      </c>
      <c r="H141" s="58">
        <f t="shared" si="14"/>
        <v>0.79212700169778438</v>
      </c>
      <c r="I141" s="58">
        <f t="shared" si="15"/>
        <v>0.64180676088952149</v>
      </c>
      <c r="J141" s="53">
        <f t="shared" si="11"/>
        <v>6.111674962608002</v>
      </c>
    </row>
    <row r="142" spans="5:10" x14ac:dyDescent="0.3">
      <c r="E142" s="2">
        <v>141</v>
      </c>
      <c r="F142" s="53">
        <f t="shared" si="13"/>
        <v>18.263333789357269</v>
      </c>
      <c r="G142" s="53">
        <f t="shared" si="16"/>
        <v>2.0089667168292995</v>
      </c>
      <c r="H142" s="58">
        <f t="shared" si="14"/>
        <v>0.78902973538784948</v>
      </c>
      <c r="I142" s="58">
        <f t="shared" si="15"/>
        <v>0.63929725615892785</v>
      </c>
      <c r="J142" s="53">
        <f t="shared" si="11"/>
        <v>6.0877779297857559</v>
      </c>
    </row>
    <row r="143" spans="5:10" x14ac:dyDescent="0.3">
      <c r="E143" s="2">
        <v>142</v>
      </c>
      <c r="F143" s="53">
        <f t="shared" si="13"/>
        <v>18.1918022174242</v>
      </c>
      <c r="G143" s="53">
        <f t="shared" si="16"/>
        <v>2.0010982439166622</v>
      </c>
      <c r="H143" s="58">
        <f t="shared" si="14"/>
        <v>0.78593936109336471</v>
      </c>
      <c r="I143" s="58">
        <f t="shared" si="15"/>
        <v>0.63679333556080608</v>
      </c>
      <c r="J143" s="53">
        <f t="shared" si="11"/>
        <v>6.0639340724747335</v>
      </c>
    </row>
    <row r="144" spans="5:10" x14ac:dyDescent="0.3">
      <c r="E144" s="2">
        <v>143</v>
      </c>
      <c r="F144" s="53">
        <f t="shared" si="13"/>
        <v>18.12043218392169</v>
      </c>
      <c r="G144" s="53">
        <f t="shared" si="16"/>
        <v>1.9932475402313858</v>
      </c>
      <c r="H144" s="58">
        <f t="shared" si="14"/>
        <v>0.78285596573419303</v>
      </c>
      <c r="I144" s="58">
        <f t="shared" si="15"/>
        <v>0.63429506952042336</v>
      </c>
      <c r="J144" s="53">
        <f t="shared" si="11"/>
        <v>6.0401440613072301</v>
      </c>
    </row>
    <row r="145" spans="5:10" x14ac:dyDescent="0.3">
      <c r="E145" s="2">
        <v>144</v>
      </c>
      <c r="F145" s="53">
        <f t="shared" si="13"/>
        <v>18.04922563459256</v>
      </c>
      <c r="G145" s="53">
        <f t="shared" si="16"/>
        <v>1.9854148198051815</v>
      </c>
      <c r="H145" s="58">
        <f t="shared" si="14"/>
        <v>0.77977963337214706</v>
      </c>
      <c r="I145" s="58">
        <f t="shared" si="15"/>
        <v>0.63180252614736265</v>
      </c>
      <c r="J145" s="53">
        <f t="shared" si="11"/>
        <v>6.0164085448641869</v>
      </c>
    </row>
    <row r="146" spans="5:10" x14ac:dyDescent="0.3">
      <c r="E146" s="2">
        <v>145</v>
      </c>
      <c r="F146" s="53">
        <f t="shared" si="13"/>
        <v>17.978184450848069</v>
      </c>
      <c r="G146" s="53">
        <f t="shared" si="16"/>
        <v>1.9776002895932876</v>
      </c>
      <c r="H146" s="58">
        <f t="shared" si="14"/>
        <v>0.77671044528972699</v>
      </c>
      <c r="I146" s="58">
        <f t="shared" si="15"/>
        <v>0.62931577129931837</v>
      </c>
      <c r="J146" s="53">
        <f t="shared" si="11"/>
        <v>5.9927281502826899</v>
      </c>
    </row>
    <row r="147" spans="5:10" x14ac:dyDescent="0.3">
      <c r="E147" s="2">
        <v>146</v>
      </c>
      <c r="F147" s="53">
        <f t="shared" si="13"/>
        <v>17.907310451531615</v>
      </c>
      <c r="G147" s="53">
        <f t="shared" si="16"/>
        <v>1.9698041496684777</v>
      </c>
      <c r="H147" s="58">
        <f t="shared" si="14"/>
        <v>0.77364848006631703</v>
      </c>
      <c r="I147" s="58">
        <f t="shared" si="15"/>
        <v>0.62683486864383364</v>
      </c>
      <c r="J147" s="53">
        <f t="shared" si="11"/>
        <v>5.9691034838438712</v>
      </c>
    </row>
    <row r="148" spans="5:10" x14ac:dyDescent="0.3">
      <c r="E148" s="2">
        <v>147</v>
      </c>
      <c r="F148" s="53">
        <f t="shared" si="13"/>
        <v>17.836605394625874</v>
      </c>
      <c r="G148" s="53">
        <f t="shared" si="16"/>
        <v>1.9620265934088461</v>
      </c>
      <c r="H148" s="58">
        <f t="shared" si="14"/>
        <v>0.77059381365193924</v>
      </c>
      <c r="I148" s="58">
        <f t="shared" si="15"/>
        <v>0.62435987971805817</v>
      </c>
      <c r="J148" s="53">
        <f t="shared" si="11"/>
        <v>5.9455351315419582</v>
      </c>
    </row>
    <row r="149" spans="5:10" x14ac:dyDescent="0.3">
      <c r="E149" s="2">
        <v>148</v>
      </c>
      <c r="F149" s="53">
        <f t="shared" si="13"/>
        <v>17.766070978905628</v>
      </c>
      <c r="G149" s="53">
        <f t="shared" si="16"/>
        <v>1.9542678076796192</v>
      </c>
      <c r="H149" s="58">
        <f t="shared" si="14"/>
        <v>0.76754651943866081</v>
      </c>
      <c r="I149" s="58">
        <f t="shared" si="15"/>
        <v>0.62189086398660376</v>
      </c>
      <c r="J149" s="53">
        <f t="shared" si="11"/>
        <v>5.9220236596352089</v>
      </c>
    </row>
    <row r="150" spans="5:10" x14ac:dyDescent="0.3">
      <c r="E150" s="2">
        <v>149</v>
      </c>
      <c r="F150" s="53">
        <f t="shared" si="13"/>
        <v>17.695708845538224</v>
      </c>
      <c r="G150" s="53">
        <f t="shared" si="16"/>
        <v>1.9465279730092047</v>
      </c>
      <c r="H150" s="58">
        <f t="shared" si="14"/>
        <v>0.76450666832973779</v>
      </c>
      <c r="I150" s="58">
        <f t="shared" si="15"/>
        <v>0.61942787889756801</v>
      </c>
      <c r="J150" s="53">
        <f t="shared" si="11"/>
        <v>5.898569615179408</v>
      </c>
    </row>
    <row r="151" spans="5:10" x14ac:dyDescent="0.3">
      <c r="E151" s="2">
        <v>150</v>
      </c>
      <c r="F151" s="53">
        <f t="shared" si="13"/>
        <v>17.625520579633779</v>
      </c>
      <c r="G151" s="53">
        <f t="shared" si="16"/>
        <v>1.9388072637597158</v>
      </c>
      <c r="H151" s="58">
        <f t="shared" si="14"/>
        <v>0.76147432880658972</v>
      </c>
      <c r="I151" s="58">
        <f t="shared" si="15"/>
        <v>0.61697097993679817</v>
      </c>
      <c r="J151" s="53">
        <f t="shared" si="11"/>
        <v>5.875173526544593</v>
      </c>
    </row>
    <row r="152" spans="5:10" x14ac:dyDescent="0.3">
      <c r="E152" s="2">
        <v>151</v>
      </c>
      <c r="F152" s="53">
        <f t="shared" si="13"/>
        <v>17.555507711746998</v>
      </c>
      <c r="G152" s="53">
        <f t="shared" si="16"/>
        <v>1.9311058482921697</v>
      </c>
      <c r="H152" s="58">
        <f t="shared" si="14"/>
        <v>0.75844956699368093</v>
      </c>
      <c r="I152" s="58">
        <f t="shared" si="15"/>
        <v>0.6145202206804613</v>
      </c>
      <c r="J152" s="53">
        <f t="shared" si="11"/>
        <v>5.8518359039156662</v>
      </c>
    </row>
    <row r="153" spans="5:10" x14ac:dyDescent="0.3">
      <c r="E153" s="2">
        <v>152</v>
      </c>
      <c r="F153" s="53">
        <f t="shared" si="13"/>
        <v>17.485671719332348</v>
      </c>
      <c r="G153" s="53">
        <f t="shared" si="16"/>
        <v>1.9234238891265583</v>
      </c>
      <c r="H153" s="58">
        <f t="shared" si="14"/>
        <v>0.75543244672139054</v>
      </c>
      <c r="I153" s="58">
        <f t="shared" si="15"/>
        <v>0.61207565284598209</v>
      </c>
      <c r="J153" s="53">
        <f t="shared" si="11"/>
        <v>5.8285572397774494</v>
      </c>
    </row>
    <row r="154" spans="5:10" x14ac:dyDescent="0.3">
      <c r="E154" s="2">
        <v>153</v>
      </c>
      <c r="F154" s="53">
        <f t="shared" si="13"/>
        <v>17.416014028154414</v>
      </c>
      <c r="G154" s="53">
        <f t="shared" si="16"/>
        <v>1.9157615430969857</v>
      </c>
      <c r="H154" s="58">
        <f t="shared" si="14"/>
        <v>0.75242302958694141</v>
      </c>
      <c r="I154" s="58">
        <f t="shared" si="15"/>
        <v>0.60963732634141099</v>
      </c>
      <c r="J154" s="53">
        <f t="shared" si="11"/>
        <v>5.8053380093848048</v>
      </c>
    </row>
    <row r="155" spans="5:10" x14ac:dyDescent="0.3">
      <c r="E155" s="2">
        <v>154</v>
      </c>
      <c r="F155" s="53">
        <f t="shared" si="13"/>
        <v>17.34653601365504</v>
      </c>
      <c r="G155" s="53">
        <f t="shared" si="16"/>
        <v>1.9081189615020544</v>
      </c>
      <c r="H155" s="58">
        <f t="shared" si="14"/>
        <v>0.74942137501346706</v>
      </c>
      <c r="I155" s="58">
        <f t="shared" si="15"/>
        <v>0.60720528931328066</v>
      </c>
      <c r="J155" s="53">
        <f t="shared" si="11"/>
        <v>5.7821786712183467</v>
      </c>
    </row>
    <row r="156" spans="5:10" x14ac:dyDescent="0.3">
      <c r="E156" s="2">
        <v>155</v>
      </c>
      <c r="F156" s="53">
        <f t="shared" si="13"/>
        <v>17.277239002278854</v>
      </c>
      <c r="G156" s="53">
        <f t="shared" si="16"/>
        <v>1.9004962902506739</v>
      </c>
      <c r="H156" s="58">
        <f t="shared" si="14"/>
        <v>0.74642754030727643</v>
      </c>
      <c r="I156" s="58">
        <f t="shared" si="15"/>
        <v>0.60477958819300515</v>
      </c>
      <c r="J156" s="53">
        <f t="shared" si="11"/>
        <v>5.7590796674262847</v>
      </c>
    </row>
    <row r="157" spans="5:10" x14ac:dyDescent="0.3">
      <c r="E157" s="2">
        <v>156</v>
      </c>
      <c r="F157" s="53">
        <f t="shared" si="13"/>
        <v>17.208124272758667</v>
      </c>
      <c r="G157" s="53">
        <f t="shared" si="16"/>
        <v>1.8928936700034533</v>
      </c>
      <c r="H157" s="58">
        <f t="shared" si="14"/>
        <v>0.74344158071338806</v>
      </c>
      <c r="I157" s="58">
        <f t="shared" si="15"/>
        <v>0.60236026774187423</v>
      </c>
      <c r="J157" s="53">
        <f t="shared" si="11"/>
        <v>5.736041424252889</v>
      </c>
    </row>
    <row r="158" spans="5:10" x14ac:dyDescent="0.3">
      <c r="E158" s="2">
        <v>157</v>
      </c>
      <c r="F158" s="53">
        <f t="shared" si="13"/>
        <v>17.139193057362299</v>
      </c>
      <c r="G158" s="53">
        <f t="shared" si="16"/>
        <v>1.8853112363098528</v>
      </c>
      <c r="H158" s="58">
        <f t="shared" si="14"/>
        <v>0.74046354946939619</v>
      </c>
      <c r="I158" s="58">
        <f t="shared" si="15"/>
        <v>0.59994737109469809</v>
      </c>
      <c r="J158" s="53">
        <f t="shared" si="11"/>
        <v>5.7130643524540998</v>
      </c>
    </row>
    <row r="159" spans="5:10" x14ac:dyDescent="0.3">
      <c r="E159" s="2">
        <v>158</v>
      </c>
      <c r="F159" s="53">
        <f t="shared" si="13"/>
        <v>17.070446543102058</v>
      </c>
      <c r="G159" s="53">
        <f t="shared" si="16"/>
        <v>1.8777491197412264</v>
      </c>
      <c r="H159" s="58">
        <f t="shared" si="14"/>
        <v>0.73749349785772367</v>
      </c>
      <c r="I159" s="58">
        <f t="shared" si="15"/>
        <v>0.5975409398021444</v>
      </c>
      <c r="J159" s="53">
        <f t="shared" si="11"/>
        <v>5.6901488477006863</v>
      </c>
    </row>
    <row r="160" spans="5:10" x14ac:dyDescent="0.3">
      <c r="E160" s="2">
        <v>159</v>
      </c>
      <c r="F160" s="53">
        <f t="shared" si="13"/>
        <v>17.00188587290836</v>
      </c>
      <c r="G160" s="53">
        <f t="shared" si="16"/>
        <v>1.8702074460199196</v>
      </c>
      <c r="H160" s="58">
        <f t="shared" si="14"/>
        <v>0.73453147525632589</v>
      </c>
      <c r="I160" s="58">
        <f t="shared" si="15"/>
        <v>0.59514101387182006</v>
      </c>
      <c r="J160" s="53">
        <f t="shared" si="11"/>
        <v>5.6672952909694532</v>
      </c>
    </row>
    <row r="161" spans="5:10" x14ac:dyDescent="0.3">
      <c r="E161" s="2">
        <v>160</v>
      </c>
      <c r="F161" s="53">
        <f t="shared" si="13"/>
        <v>16.933512146768681</v>
      </c>
      <c r="G161" s="53">
        <f t="shared" si="16"/>
        <v>1.8626863361445549</v>
      </c>
      <c r="H161" s="58">
        <f t="shared" si="14"/>
        <v>0.7315775291878972</v>
      </c>
      <c r="I161" s="58">
        <f t="shared" si="15"/>
        <v>0.59274763180813939</v>
      </c>
      <c r="J161" s="53">
        <f t="shared" si="11"/>
        <v>5.6445040489228937</v>
      </c>
    </row>
    <row r="162" spans="5:10" x14ac:dyDescent="0.3">
      <c r="E162" s="2">
        <v>161</v>
      </c>
      <c r="F162" s="53">
        <f t="shared" si="13"/>
        <v>16.865326422833053</v>
      </c>
      <c r="G162" s="53">
        <f t="shared" si="16"/>
        <v>1.8551859065116358</v>
      </c>
      <c r="H162" s="58">
        <f t="shared" si="14"/>
        <v>0.72863170536763122</v>
      </c>
      <c r="I162" s="58">
        <f t="shared" si="15"/>
        <v>0.59036083065102218</v>
      </c>
      <c r="J162" s="53">
        <f t="shared" si="11"/>
        <v>5.6217754742776842</v>
      </c>
    </row>
    <row r="163" spans="5:10" x14ac:dyDescent="0.3">
      <c r="E163" s="2">
        <v>162</v>
      </c>
      <c r="F163" s="53">
        <f t="shared" si="13"/>
        <v>16.797329718487383</v>
      </c>
      <c r="G163" s="53">
        <f t="shared" si="16"/>
        <v>1.8477062690336121</v>
      </c>
      <c r="H163" s="58">
        <f t="shared" si="14"/>
        <v>0.72569404774959134</v>
      </c>
      <c r="I163" s="58">
        <f t="shared" si="15"/>
        <v>0.58798064601346334</v>
      </c>
      <c r="J163" s="53">
        <f t="shared" si="11"/>
        <v>5.599109906162461</v>
      </c>
    </row>
    <row r="164" spans="5:10" x14ac:dyDescent="0.3">
      <c r="E164" s="2">
        <v>163</v>
      </c>
      <c r="F164" s="53">
        <f t="shared" si="13"/>
        <v>16.729523011395546</v>
      </c>
      <c r="G164" s="53">
        <f t="shared" si="16"/>
        <v>1.84024753125351</v>
      </c>
      <c r="H164" s="58">
        <f t="shared" si="14"/>
        <v>0.7227645985717327</v>
      </c>
      <c r="I164" s="58">
        <f t="shared" si="15"/>
        <v>0.58560711211801186</v>
      </c>
      <c r="J164" s="53">
        <f t="shared" si="11"/>
        <v>5.5765076704651824</v>
      </c>
    </row>
    <row r="165" spans="5:10" x14ac:dyDescent="0.3">
      <c r="E165" s="2">
        <v>164</v>
      </c>
      <c r="F165" s="53">
        <f t="shared" si="13"/>
        <v>16.661907240511496</v>
      </c>
      <c r="G165" s="53">
        <f t="shared" si="16"/>
        <v>1.8328097964562646</v>
      </c>
      <c r="H165" s="58">
        <f t="shared" si="14"/>
        <v>0.7198433983996273</v>
      </c>
      <c r="I165" s="58">
        <f t="shared" si="15"/>
        <v>0.58324026183219857</v>
      </c>
      <c r="J165" s="53">
        <f t="shared" si="11"/>
        <v>5.5539690801704991</v>
      </c>
    </row>
    <row r="166" spans="5:10" x14ac:dyDescent="0.3">
      <c r="E166" s="2">
        <v>165</v>
      </c>
      <c r="F166" s="53">
        <f t="shared" si="13"/>
        <v>16.59448330706234</v>
      </c>
      <c r="G166" s="53">
        <f t="shared" si="16"/>
        <v>1.8253931637768575</v>
      </c>
      <c r="H166" s="58">
        <f t="shared" si="14"/>
        <v>0.71693048616893706</v>
      </c>
      <c r="I166" s="58">
        <f t="shared" si="15"/>
        <v>0.5808801267029482</v>
      </c>
      <c r="J166" s="53">
        <f t="shared" si="11"/>
        <v>5.5314944356874465</v>
      </c>
    </row>
    <row r="167" spans="5:10" x14ac:dyDescent="0.3">
      <c r="E167" s="2">
        <v>166</v>
      </c>
      <c r="F167" s="53">
        <f t="shared" si="13"/>
        <v>16.52725207550337</v>
      </c>
      <c r="G167" s="53">
        <f t="shared" si="16"/>
        <v>1.8179977283053708</v>
      </c>
      <c r="H167" s="58">
        <f t="shared" si="14"/>
        <v>0.71402589922667314</v>
      </c>
      <c r="I167" s="58">
        <f t="shared" si="15"/>
        <v>0.57852673699000978</v>
      </c>
      <c r="J167" s="53">
        <f t="shared" ref="J167:J201" si="17">F167/$B$25</f>
        <v>5.5090840251677902</v>
      </c>
    </row>
    <row r="168" spans="5:10" x14ac:dyDescent="0.3">
      <c r="E168" s="2">
        <v>167</v>
      </c>
      <c r="F168" s="53">
        <f t="shared" si="13"/>
        <v>16.460214374446025</v>
      </c>
      <c r="G168" s="53">
        <f t="shared" si="16"/>
        <v>1.8106235811890627</v>
      </c>
      <c r="H168" s="58">
        <f t="shared" si="14"/>
        <v>0.71112967337128696</v>
      </c>
      <c r="I168" s="58">
        <f t="shared" si="15"/>
        <v>0.57618012169843913</v>
      </c>
      <c r="J168" s="53">
        <f t="shared" si="17"/>
        <v>5.486738124815342</v>
      </c>
    </row>
    <row r="169" spans="5:10" x14ac:dyDescent="0.3">
      <c r="E169" s="2">
        <v>168</v>
      </c>
      <c r="F169" s="53">
        <f t="shared" si="13"/>
        <v>16.393370997559728</v>
      </c>
      <c r="G169" s="53">
        <f>F169*$B$17</f>
        <v>1.3114696798047782</v>
      </c>
      <c r="H169" s="58">
        <f t="shared" si="14"/>
        <v>0.70824184289163161</v>
      </c>
      <c r="I169" s="58">
        <f t="shared" si="15"/>
        <v>0.57384030861016777</v>
      </c>
      <c r="J169" s="53">
        <f t="shared" si="17"/>
        <v>5.4644569991865763</v>
      </c>
    </row>
    <row r="170" spans="5:10" x14ac:dyDescent="0.3">
      <c r="E170" s="2">
        <v>169</v>
      </c>
      <c r="F170" s="53">
        <f t="shared" si="13"/>
        <v>16.326722704448397</v>
      </c>
      <c r="G170" s="53">
        <f t="shared" ref="G170:G233" si="18">F170*$B$17</f>
        <v>1.3061378163558717</v>
      </c>
      <c r="H170" s="58">
        <f t="shared" si="14"/>
        <v>0.70536244060483055</v>
      </c>
      <c r="I170" s="58">
        <f t="shared" si="15"/>
        <v>0.57150732431468398</v>
      </c>
      <c r="J170" s="53">
        <f t="shared" si="17"/>
        <v>5.4422409014827986</v>
      </c>
    </row>
    <row r="171" spans="5:10" x14ac:dyDescent="0.3">
      <c r="E171" s="2">
        <v>170</v>
      </c>
      <c r="F171" s="53">
        <f t="shared" si="13"/>
        <v>16.26027022150253</v>
      </c>
      <c r="G171" s="53">
        <f t="shared" si="18"/>
        <v>1.3008216177202025</v>
      </c>
      <c r="H171" s="58">
        <f t="shared" si="14"/>
        <v>0.70249149789308984</v>
      </c>
      <c r="I171" s="58">
        <f t="shared" si="15"/>
        <v>0.56918119423885971</v>
      </c>
      <c r="J171" s="53">
        <f t="shared" si="17"/>
        <v>5.4200900738341771</v>
      </c>
    </row>
    <row r="172" spans="5:10" x14ac:dyDescent="0.3">
      <c r="E172" s="2">
        <v>171</v>
      </c>
      <c r="F172" s="53">
        <f t="shared" si="13"/>
        <v>16.194014242727693</v>
      </c>
      <c r="G172" s="53">
        <f t="shared" si="18"/>
        <v>1.2955211394182156</v>
      </c>
      <c r="H172" s="58">
        <f t="shared" si="14"/>
        <v>0.69962904473949106</v>
      </c>
      <c r="I172" s="58">
        <f t="shared" si="15"/>
        <v>0.5668619426759518</v>
      </c>
      <c r="J172" s="53">
        <f t="shared" si="17"/>
        <v>5.3980047475758974</v>
      </c>
    </row>
    <row r="173" spans="5:10" x14ac:dyDescent="0.3">
      <c r="E173" s="2">
        <v>172</v>
      </c>
      <c r="F173" s="53">
        <f t="shared" si="13"/>
        <v>16.127955430550106</v>
      </c>
      <c r="G173" s="53">
        <f t="shared" si="18"/>
        <v>1.2902364344440085</v>
      </c>
      <c r="H173" s="58">
        <f t="shared" si="14"/>
        <v>0.69677510976279533</v>
      </c>
      <c r="I173" s="58">
        <f t="shared" si="15"/>
        <v>0.56454959281380013</v>
      </c>
      <c r="J173" s="53">
        <f t="shared" si="17"/>
        <v>5.3759851435167016</v>
      </c>
    </row>
    <row r="174" spans="5:10" x14ac:dyDescent="0.3">
      <c r="E174" s="2">
        <v>173</v>
      </c>
      <c r="F174" s="53">
        <f t="shared" si="13"/>
        <v>16.062094416600164</v>
      </c>
      <c r="G174" s="53">
        <f t="shared" si="18"/>
        <v>1.2849675533280132</v>
      </c>
      <c r="H174" s="58">
        <f t="shared" si="14"/>
        <v>0.69392972025129329</v>
      </c>
      <c r="I174" s="58">
        <f t="shared" si="15"/>
        <v>0.5622441667622553</v>
      </c>
      <c r="J174" s="53">
        <f t="shared" si="17"/>
        <v>5.354031472200055</v>
      </c>
    </row>
    <row r="175" spans="5:10" x14ac:dyDescent="0.3">
      <c r="E175" s="2">
        <v>174</v>
      </c>
      <c r="F175" s="53">
        <f t="shared" si="13"/>
        <v>15.9964318024746</v>
      </c>
      <c r="G175" s="53">
        <f t="shared" si="18"/>
        <v>1.279714544197968</v>
      </c>
      <c r="H175" s="58">
        <f t="shared" si="14"/>
        <v>0.69109290219573327</v>
      </c>
      <c r="I175" s="58">
        <f t="shared" si="15"/>
        <v>0.55994568557985713</v>
      </c>
      <c r="J175" s="53">
        <f t="shared" si="17"/>
        <v>5.3321439341582</v>
      </c>
    </row>
    <row r="176" spans="5:10" x14ac:dyDescent="0.3">
      <c r="E176" s="2">
        <v>175</v>
      </c>
      <c r="F176" s="53">
        <f t="shared" si="13"/>
        <v>15.930968160477887</v>
      </c>
      <c r="G176" s="53">
        <f t="shared" si="18"/>
        <v>1.274477452838231</v>
      </c>
      <c r="H176" s="58">
        <f t="shared" si="14"/>
        <v>0.68826468032135169</v>
      </c>
      <c r="I176" s="58">
        <f t="shared" si="15"/>
        <v>0.55765416929978684</v>
      </c>
      <c r="J176" s="53">
        <f t="shared" si="17"/>
        <v>5.310322720159296</v>
      </c>
    </row>
    <row r="177" spans="5:10" x14ac:dyDescent="0.3">
      <c r="E177" s="2">
        <v>176</v>
      </c>
      <c r="F177" s="53">
        <f t="shared" si="13"/>
        <v>15.865704034343695</v>
      </c>
      <c r="G177" s="53">
        <f t="shared" si="18"/>
        <v>1.2692563227474956</v>
      </c>
      <c r="H177" s="58">
        <f t="shared" si="14"/>
        <v>0.68544507811904254</v>
      </c>
      <c r="I177" s="58">
        <f t="shared" si="15"/>
        <v>0.55536963695512187</v>
      </c>
      <c r="J177" s="53">
        <f t="shared" si="17"/>
        <v>5.2885680114478983</v>
      </c>
    </row>
    <row r="178" spans="5:10" x14ac:dyDescent="0.3">
      <c r="E178" s="2">
        <v>177</v>
      </c>
      <c r="F178" s="53">
        <f t="shared" si="13"/>
        <v>15.800639939936923</v>
      </c>
      <c r="G178" s="53">
        <f t="shared" si="18"/>
        <v>1.2640511951949538</v>
      </c>
      <c r="H178" s="58">
        <f t="shared" si="14"/>
        <v>0.6826341178756864</v>
      </c>
      <c r="I178" s="58">
        <f t="shared" si="15"/>
        <v>0.55309210660340957</v>
      </c>
      <c r="J178" s="53">
        <f t="shared" si="17"/>
        <v>5.2668799799789747</v>
      </c>
    </row>
    <row r="179" spans="5:10" x14ac:dyDescent="0.3">
      <c r="E179" s="2">
        <v>178</v>
      </c>
      <c r="F179" s="53">
        <f t="shared" si="13"/>
        <v>15.735776365936983</v>
      </c>
      <c r="G179" s="53">
        <f t="shared" si="18"/>
        <v>1.2588621092749588</v>
      </c>
      <c r="H179" s="58">
        <f t="shared" si="14"/>
        <v>0.67983182070367132</v>
      </c>
      <c r="I179" s="58">
        <f t="shared" si="15"/>
        <v>0.55082159535058517</v>
      </c>
      <c r="J179" s="53">
        <f t="shared" si="17"/>
        <v>5.2452587886456614</v>
      </c>
    </row>
    <row r="180" spans="5:10" x14ac:dyDescent="0.3">
      <c r="E180" s="2">
        <v>179</v>
      </c>
      <c r="F180" s="53">
        <f t="shared" si="13"/>
        <v>15.671113774502901</v>
      </c>
      <c r="G180" s="53">
        <f t="shared" si="18"/>
        <v>1.2536891019602321</v>
      </c>
      <c r="H180" s="58">
        <f t="shared" si="14"/>
        <v>0.67703820656962643</v>
      </c>
      <c r="I180" s="58">
        <f t="shared" si="15"/>
        <v>0.54855811937425369</v>
      </c>
      <c r="J180" s="53">
        <f t="shared" si="17"/>
        <v>5.223704591500967</v>
      </c>
    </row>
    <row r="181" spans="5:10" x14ac:dyDescent="0.3">
      <c r="E181" s="2">
        <v>180</v>
      </c>
      <c r="F181" s="53">
        <f t="shared" si="13"/>
        <v>15.606652601920823</v>
      </c>
      <c r="G181" s="53">
        <f t="shared" si="18"/>
        <v>1.2485322081536658</v>
      </c>
      <c r="H181" s="58">
        <f t="shared" si="14"/>
        <v>0.67425329432239667</v>
      </c>
      <c r="I181" s="58">
        <f t="shared" si="15"/>
        <v>0.54630169394635475</v>
      </c>
      <c r="J181" s="53">
        <f t="shared" si="17"/>
        <v>5.2022175339736076</v>
      </c>
    </row>
    <row r="182" spans="5:10" x14ac:dyDescent="0.3">
      <c r="E182" s="2">
        <v>181</v>
      </c>
      <c r="F182" s="53">
        <f t="shared" si="13"/>
        <v>15.542393259234496</v>
      </c>
      <c r="G182" s="53">
        <f t="shared" si="18"/>
        <v>1.2433914607387597</v>
      </c>
      <c r="H182" s="58">
        <f t="shared" si="14"/>
        <v>0.67147710172028074</v>
      </c>
      <c r="I182" s="58">
        <f t="shared" si="15"/>
        <v>0.54405233345523329</v>
      </c>
      <c r="J182" s="53">
        <f t="shared" si="17"/>
        <v>5.1807977530781653</v>
      </c>
    </row>
    <row r="183" spans="5:10" x14ac:dyDescent="0.3">
      <c r="E183" s="2">
        <v>182</v>
      </c>
      <c r="F183" s="53">
        <f t="shared" si="13"/>
        <v>15.478336132859191</v>
      </c>
      <c r="G183" s="53">
        <f t="shared" si="18"/>
        <v>1.2382668906287353</v>
      </c>
      <c r="H183" s="58">
        <f t="shared" si="14"/>
        <v>0.66870964545755451</v>
      </c>
      <c r="I183" s="58">
        <f t="shared" si="15"/>
        <v>0.54181005142712824</v>
      </c>
      <c r="J183" s="53">
        <f t="shared" si="17"/>
        <v>5.15944537761973</v>
      </c>
    </row>
    <row r="184" spans="5:10" x14ac:dyDescent="0.3">
      <c r="E184" s="2">
        <v>183</v>
      </c>
      <c r="F184" s="53">
        <f t="shared" si="13"/>
        <v>15.414481585179656</v>
      </c>
      <c r="G184" s="53">
        <f t="shared" si="18"/>
        <v>1.2331585268143725</v>
      </c>
      <c r="H184" s="58">
        <f t="shared" si="14"/>
        <v>0.66595094119030551</v>
      </c>
      <c r="I184" s="58">
        <f t="shared" si="15"/>
        <v>0.5395748605471048</v>
      </c>
      <c r="J184" s="53">
        <f t="shared" si="17"/>
        <v>5.138160528393219</v>
      </c>
    </row>
    <row r="185" spans="5:10" x14ac:dyDescent="0.3">
      <c r="E185" s="2">
        <v>184</v>
      </c>
      <c r="F185" s="53">
        <f t="shared" si="13"/>
        <v>15.350829955132523</v>
      </c>
      <c r="G185" s="53">
        <f t="shared" si="18"/>
        <v>1.228066396410602</v>
      </c>
      <c r="H185" s="58">
        <f t="shared" si="14"/>
        <v>0.66320100356159273</v>
      </c>
      <c r="I185" s="58">
        <f t="shared" si="15"/>
        <v>0.5373467726794402</v>
      </c>
      <c r="J185" s="53">
        <f t="shared" si="17"/>
        <v>5.1169433183775075</v>
      </c>
    </row>
    <row r="186" spans="5:10" x14ac:dyDescent="0.3">
      <c r="E186" s="2">
        <v>185</v>
      </c>
      <c r="F186" s="53">
        <f t="shared" si="13"/>
        <v>15.287381558773681</v>
      </c>
      <c r="G186" s="53">
        <f t="shared" si="18"/>
        <v>1.2229905247018946</v>
      </c>
      <c r="H186" s="58">
        <f t="shared" si="14"/>
        <v>0.66045984622596032</v>
      </c>
      <c r="I186" s="58">
        <f t="shared" si="15"/>
        <v>0.53512579888748502</v>
      </c>
      <c r="J186" s="53">
        <f t="shared" si="17"/>
        <v>5.0957938529245608</v>
      </c>
    </row>
    <row r="187" spans="5:10" x14ac:dyDescent="0.3">
      <c r="E187" s="2">
        <v>186</v>
      </c>
      <c r="F187" s="53">
        <f t="shared" si="13"/>
        <v>15.224136689831113</v>
      </c>
      <c r="G187" s="53">
        <f t="shared" si="18"/>
        <v>1.2179309351864891</v>
      </c>
      <c r="H187" s="58">
        <f t="shared" si="14"/>
        <v>0.65772748187332097</v>
      </c>
      <c r="I187" s="58">
        <f t="shared" si="15"/>
        <v>0.53291194945301457</v>
      </c>
      <c r="J187" s="53">
        <f t="shared" si="17"/>
        <v>5.074712229943704</v>
      </c>
    </row>
    <row r="188" spans="5:10" x14ac:dyDescent="0.3">
      <c r="E188" s="2">
        <v>187</v>
      </c>
      <c r="F188" s="53">
        <f t="shared" si="13"/>
        <v>15.161095620243502</v>
      </c>
      <c r="G188" s="53">
        <f t="shared" si="18"/>
        <v>1.2128876496194803</v>
      </c>
      <c r="H188" s="58">
        <f t="shared" si="14"/>
        <v>0.6550039222522257</v>
      </c>
      <c r="I188" s="58">
        <f t="shared" si="15"/>
        <v>0.53070523389508228</v>
      </c>
      <c r="J188" s="53">
        <f t="shared" si="17"/>
        <v>5.0536985400811671</v>
      </c>
    </row>
    <row r="189" spans="5:10" x14ac:dyDescent="0.3">
      <c r="E189" s="2">
        <v>188</v>
      </c>
      <c r="F189" s="53">
        <f t="shared" si="13"/>
        <v>15.098258600685218</v>
      </c>
      <c r="G189" s="53">
        <f t="shared" si="18"/>
        <v>1.2078606880548175</v>
      </c>
      <c r="H189" s="58">
        <f t="shared" si="14"/>
        <v>0.65228917819254439</v>
      </c>
      <c r="I189" s="58">
        <f t="shared" si="15"/>
        <v>0.52850566098839724</v>
      </c>
      <c r="J189" s="53">
        <f t="shared" si="17"/>
        <v>5.0327528668950725</v>
      </c>
    </row>
    <row r="190" spans="5:10" x14ac:dyDescent="0.3">
      <c r="E190" s="2">
        <v>189</v>
      </c>
      <c r="F190" s="53">
        <f t="shared" si="13"/>
        <v>15.035625861077918</v>
      </c>
      <c r="G190" s="53">
        <f t="shared" si="18"/>
        <v>1.2028500688862334</v>
      </c>
      <c r="H190" s="58">
        <f t="shared" si="14"/>
        <v>0.64958325962756902</v>
      </c>
      <c r="I190" s="58">
        <f t="shared" si="15"/>
        <v>0.52631323878123171</v>
      </c>
      <c r="J190" s="53">
        <f t="shared" si="17"/>
        <v>5.0118752870259726</v>
      </c>
    </row>
    <row r="191" spans="5:10" x14ac:dyDescent="0.3">
      <c r="E191" s="2">
        <v>190</v>
      </c>
      <c r="F191" s="53">
        <f t="shared" si="13"/>
        <v>14.973197611089294</v>
      </c>
      <c r="G191" s="53">
        <f t="shared" si="18"/>
        <v>1.1978558088871436</v>
      </c>
      <c r="H191" s="58">
        <f t="shared" si="14"/>
        <v>0.64688617561556039</v>
      </c>
      <c r="I191" s="58">
        <f t="shared" si="15"/>
        <v>0.52412797461287997</v>
      </c>
      <c r="J191" s="53">
        <f t="shared" si="17"/>
        <v>4.9910658703630979</v>
      </c>
    </row>
    <row r="192" spans="5:10" x14ac:dyDescent="0.3">
      <c r="E192" s="2">
        <v>191</v>
      </c>
      <c r="F192" s="53">
        <f t="shared" si="13"/>
        <v>14.910974040619264</v>
      </c>
      <c r="G192" s="53">
        <f t="shared" si="18"/>
        <v>1.1928779232495412</v>
      </c>
      <c r="H192" s="58">
        <f t="shared" si="14"/>
        <v>0.64419793436075379</v>
      </c>
      <c r="I192" s="58">
        <f t="shared" si="15"/>
        <v>0.52194987513067692</v>
      </c>
      <c r="J192" s="53">
        <f t="shared" si="17"/>
        <v>4.9703246802064216</v>
      </c>
    </row>
    <row r="193" spans="5:10" x14ac:dyDescent="0.3">
      <c r="E193" s="2">
        <v>192</v>
      </c>
      <c r="F193" s="53">
        <f t="shared" si="13"/>
        <v>14.84895532027401</v>
      </c>
      <c r="G193" s="53">
        <f t="shared" si="18"/>
        <v>1.1879164256219208</v>
      </c>
      <c r="H193" s="58">
        <f t="shared" si="14"/>
        <v>0.64151854323383772</v>
      </c>
      <c r="I193" s="58">
        <f t="shared" si="15"/>
        <v>0.51977894630659138</v>
      </c>
      <c r="J193" s="53">
        <f t="shared" si="17"/>
        <v>4.9496517734246703</v>
      </c>
    </row>
    <row r="194" spans="5:10" x14ac:dyDescent="0.3">
      <c r="E194" s="2">
        <v>193</v>
      </c>
      <c r="F194" s="53">
        <f t="shared" si="13"/>
        <v>14.787141601828237</v>
      </c>
      <c r="G194" s="53">
        <f t="shared" si="18"/>
        <v>1.182971328146259</v>
      </c>
      <c r="H194" s="58">
        <f t="shared" si="14"/>
        <v>0.63884800879192616</v>
      </c>
      <c r="I194" s="58">
        <f t="shared" si="15"/>
        <v>0.51761519345340801</v>
      </c>
      <c r="J194" s="53">
        <f t="shared" si="17"/>
        <v>4.9290472006094124</v>
      </c>
    </row>
    <row r="195" spans="5:10" x14ac:dyDescent="0.3">
      <c r="E195" s="2">
        <v>194</v>
      </c>
      <c r="F195" s="53">
        <f t="shared" ref="F195:F258" si="19">$B$4*E195^$B$5*EXP(-$B$6*E195)</f>
        <v>14.725533018675925</v>
      </c>
      <c r="G195" s="53">
        <f t="shared" si="18"/>
        <v>1.1780426414940741</v>
      </c>
      <c r="H195" s="58">
        <f t="shared" ref="H195:H258" si="20">F195*$B$19/100</f>
        <v>0.63618633679803116</v>
      </c>
      <c r="I195" s="58">
        <f t="shared" ref="I195:I258" si="21">F195*$B$20/100</f>
        <v>0.51545862124050434</v>
      </c>
      <c r="J195" s="53">
        <f t="shared" si="17"/>
        <v>4.9085110062253081</v>
      </c>
    </row>
    <row r="196" spans="5:10" x14ac:dyDescent="0.3">
      <c r="E196" s="2">
        <v>195</v>
      </c>
      <c r="F196" s="53">
        <f t="shared" si="19"/>
        <v>14.664129686270019</v>
      </c>
      <c r="G196" s="53">
        <f t="shared" si="18"/>
        <v>1.1731303749016015</v>
      </c>
      <c r="H196" s="58">
        <f t="shared" si="20"/>
        <v>0.63353353224005948</v>
      </c>
      <c r="I196" s="58">
        <f t="shared" si="21"/>
        <v>0.51330923370924286</v>
      </c>
      <c r="J196" s="53">
        <f t="shared" si="17"/>
        <v>4.8880432287566729</v>
      </c>
    </row>
    <row r="197" spans="5:10" x14ac:dyDescent="0.3">
      <c r="E197" s="2">
        <v>196</v>
      </c>
      <c r="F197" s="53">
        <f t="shared" si="19"/>
        <v>14.602931702551246</v>
      </c>
      <c r="G197" s="53">
        <f t="shared" si="18"/>
        <v>1.1682345362040996</v>
      </c>
      <c r="H197" s="58">
        <f t="shared" si="20"/>
        <v>0.63088959934933864</v>
      </c>
      <c r="I197" s="58">
        <f t="shared" si="21"/>
        <v>0.51116703428798116</v>
      </c>
      <c r="J197" s="53">
        <f t="shared" si="17"/>
        <v>4.8676439008504149</v>
      </c>
    </row>
    <row r="198" spans="5:10" x14ac:dyDescent="0.3">
      <c r="E198" s="2">
        <v>197</v>
      </c>
      <c r="F198" s="53">
        <f t="shared" si="19"/>
        <v>14.541939148366504</v>
      </c>
      <c r="G198" s="53">
        <f t="shared" si="18"/>
        <v>1.1633551318693203</v>
      </c>
      <c r="H198" s="58">
        <f t="shared" si="20"/>
        <v>0.62825454161869265</v>
      </c>
      <c r="I198" s="58">
        <f t="shared" si="21"/>
        <v>0.50903202580671736</v>
      </c>
      <c r="J198" s="53">
        <f t="shared" si="17"/>
        <v>4.8473130494555017</v>
      </c>
    </row>
    <row r="199" spans="5:10" x14ac:dyDescent="0.3">
      <c r="E199" s="2">
        <v>198</v>
      </c>
      <c r="F199" s="53">
        <f t="shared" si="19"/>
        <v>14.481152087877</v>
      </c>
      <c r="G199" s="53">
        <f t="shared" si="18"/>
        <v>1.15849216703016</v>
      </c>
      <c r="H199" s="58">
        <f t="shared" si="20"/>
        <v>0.62562836182007397</v>
      </c>
      <c r="I199" s="58">
        <f t="shared" si="21"/>
        <v>0.50690421051137668</v>
      </c>
      <c r="J199" s="53">
        <f t="shared" si="17"/>
        <v>4.8270506959589996</v>
      </c>
    </row>
    <row r="200" spans="5:10" x14ac:dyDescent="0.3">
      <c r="E200" s="2">
        <v>199</v>
      </c>
      <c r="F200" s="53">
        <f t="shared" si="19"/>
        <v>14.420570568956538</v>
      </c>
      <c r="G200" s="53">
        <f t="shared" si="18"/>
        <v>1.1536456455165232</v>
      </c>
      <c r="H200" s="58">
        <f t="shared" si="20"/>
        <v>0.62301106202177214</v>
      </c>
      <c r="I200" s="58">
        <f t="shared" si="21"/>
        <v>0.50478359007775353</v>
      </c>
      <c r="J200" s="53">
        <f t="shared" si="17"/>
        <v>4.8068568563188458</v>
      </c>
    </row>
    <row r="201" spans="5:10" x14ac:dyDescent="0.3">
      <c r="E201" s="2">
        <v>200</v>
      </c>
      <c r="F201" s="53">
        <f t="shared" si="19"/>
        <v>14.360194623580114</v>
      </c>
      <c r="G201" s="53">
        <f t="shared" si="18"/>
        <v>1.1488155698864091</v>
      </c>
      <c r="H201" s="58">
        <f t="shared" si="20"/>
        <v>0.62040264360520059</v>
      </c>
      <c r="I201" s="58">
        <f t="shared" si="21"/>
        <v>0.5026701656251138</v>
      </c>
      <c r="J201" s="53">
        <f t="shared" si="17"/>
        <v>4.7867315411933715</v>
      </c>
    </row>
    <row r="202" spans="5:10" x14ac:dyDescent="0.3">
      <c r="E202" s="2">
        <v>201</v>
      </c>
      <c r="F202" s="53">
        <f t="shared" si="19"/>
        <v>14.300024268203215</v>
      </c>
      <c r="G202" s="53">
        <f t="shared" si="18"/>
        <v>1.1440019414562572</v>
      </c>
      <c r="H202" s="58">
        <f t="shared" si="20"/>
        <v>0.61780310728128507</v>
      </c>
      <c r="I202" s="58">
        <f t="shared" si="21"/>
        <v>0.50056393772947205</v>
      </c>
      <c r="J202" s="53">
        <f>F202/$B$26</f>
        <v>3.5750060670508037</v>
      </c>
    </row>
    <row r="203" spans="5:10" x14ac:dyDescent="0.3">
      <c r="E203" s="2">
        <v>202</v>
      </c>
      <c r="F203" s="53">
        <f t="shared" si="19"/>
        <v>14.240059504132013</v>
      </c>
      <c r="G203" s="53">
        <f t="shared" si="18"/>
        <v>1.1392047603305611</v>
      </c>
      <c r="H203" s="58">
        <f t="shared" si="20"/>
        <v>0.615212453106456</v>
      </c>
      <c r="I203" s="58">
        <f t="shared" si="21"/>
        <v>0.49846490643655028</v>
      </c>
      <c r="J203" s="53">
        <f t="shared" ref="J203:J266" si="22">F203/$B$26</f>
        <v>3.5600148760330033</v>
      </c>
    </row>
    <row r="204" spans="5:10" x14ac:dyDescent="0.3">
      <c r="E204" s="2">
        <v>203</v>
      </c>
      <c r="F204" s="53">
        <f t="shared" si="19"/>
        <v>14.180300317884685</v>
      </c>
      <c r="G204" s="53">
        <f t="shared" si="18"/>
        <v>1.1344240254307747</v>
      </c>
      <c r="H204" s="58">
        <f t="shared" si="20"/>
        <v>0.61263068049825897</v>
      </c>
      <c r="I204" s="58">
        <f t="shared" si="21"/>
        <v>0.49637307127442509</v>
      </c>
      <c r="J204" s="53">
        <f t="shared" si="22"/>
        <v>3.5450750794711712</v>
      </c>
    </row>
    <row r="205" spans="5:10" x14ac:dyDescent="0.3">
      <c r="E205" s="2">
        <v>204</v>
      </c>
      <c r="F205" s="53">
        <f t="shared" si="19"/>
        <v>14.120746681544189</v>
      </c>
      <c r="G205" s="53">
        <f t="shared" si="18"/>
        <v>1.1296597345235351</v>
      </c>
      <c r="H205" s="58">
        <f t="shared" si="20"/>
        <v>0.61005778825059553</v>
      </c>
      <c r="I205" s="58">
        <f t="shared" si="21"/>
        <v>0.49428843126587679</v>
      </c>
      <c r="J205" s="53">
        <f t="shared" si="22"/>
        <v>3.5301866703860472</v>
      </c>
    </row>
    <row r="206" spans="5:10" x14ac:dyDescent="0.3">
      <c r="E206" s="2">
        <v>205</v>
      </c>
      <c r="F206" s="53">
        <f t="shared" si="19"/>
        <v>14.061398553102649</v>
      </c>
      <c r="G206" s="53">
        <f t="shared" si="18"/>
        <v>1.124911884248212</v>
      </c>
      <c r="H206" s="58">
        <f t="shared" si="20"/>
        <v>0.60749377454860209</v>
      </c>
      <c r="I206" s="58">
        <f t="shared" si="21"/>
        <v>0.49221098494044446</v>
      </c>
      <c r="J206" s="53">
        <f t="shared" si="22"/>
        <v>3.5153496382756622</v>
      </c>
    </row>
    <row r="207" spans="5:10" x14ac:dyDescent="0.3">
      <c r="E207" s="2">
        <v>206</v>
      </c>
      <c r="F207" s="53">
        <f t="shared" si="19"/>
        <v>14.002255876797598</v>
      </c>
      <c r="G207" s="53">
        <f t="shared" si="18"/>
        <v>1.1201804701438078</v>
      </c>
      <c r="H207" s="58">
        <f t="shared" si="20"/>
        <v>0.60493863698317596</v>
      </c>
      <c r="I207" s="58">
        <f t="shared" si="21"/>
        <v>0.49014073034619576</v>
      </c>
      <c r="J207" s="53">
        <f t="shared" si="22"/>
        <v>3.5005639691993995</v>
      </c>
    </row>
    <row r="208" spans="5:10" x14ac:dyDescent="0.3">
      <c r="E208" s="2">
        <v>207</v>
      </c>
      <c r="F208" s="53">
        <f t="shared" si="19"/>
        <v>13.943318583440375</v>
      </c>
      <c r="G208" s="53">
        <f t="shared" si="18"/>
        <v>1.11546548667523</v>
      </c>
      <c r="H208" s="58">
        <f t="shared" si="20"/>
        <v>0.60239237256516343</v>
      </c>
      <c r="I208" s="58">
        <f t="shared" si="21"/>
        <v>0.4880776650612223</v>
      </c>
      <c r="J208" s="53">
        <f t="shared" si="22"/>
        <v>3.4858296458600937</v>
      </c>
    </row>
    <row r="209" spans="5:10" x14ac:dyDescent="0.3">
      <c r="E209" s="2">
        <v>208</v>
      </c>
      <c r="F209" s="53">
        <f t="shared" si="19"/>
        <v>13.884586590736767</v>
      </c>
      <c r="G209" s="53">
        <f t="shared" si="18"/>
        <v>1.1107669272589413</v>
      </c>
      <c r="H209" s="58">
        <f t="shared" si="20"/>
        <v>0.59985497773921259</v>
      </c>
      <c r="I209" s="58">
        <f t="shared" si="21"/>
        <v>0.48602178620486347</v>
      </c>
      <c r="J209" s="53">
        <f t="shared" si="22"/>
        <v>3.4711466476841917</v>
      </c>
    </row>
    <row r="210" spans="5:10" x14ac:dyDescent="0.3">
      <c r="E210" s="2">
        <v>209</v>
      </c>
      <c r="F210" s="53">
        <f t="shared" si="19"/>
        <v>13.826059803600202</v>
      </c>
      <c r="G210" s="53">
        <f t="shared" si="18"/>
        <v>1.1060847842880162</v>
      </c>
      <c r="H210" s="58">
        <f t="shared" si="20"/>
        <v>0.59732644839730376</v>
      </c>
      <c r="I210" s="58">
        <f t="shared" si="21"/>
        <v>0.48397309044866993</v>
      </c>
      <c r="J210" s="53">
        <f t="shared" si="22"/>
        <v>3.4565149509000506</v>
      </c>
    </row>
    <row r="211" spans="5:10" x14ac:dyDescent="0.3">
      <c r="E211" s="2">
        <v>210</v>
      </c>
      <c r="F211" s="53">
        <f t="shared" si="19"/>
        <v>13.767738114457638</v>
      </c>
      <c r="G211" s="53">
        <f t="shared" si="18"/>
        <v>1.1014190491566109</v>
      </c>
      <c r="H211" s="58">
        <f t="shared" si="20"/>
        <v>0.59480677989196518</v>
      </c>
      <c r="I211" s="58">
        <f t="shared" si="21"/>
        <v>0.4819315740271104</v>
      </c>
      <c r="J211" s="53">
        <f t="shared" si="22"/>
        <v>3.4419345286144094</v>
      </c>
    </row>
    <row r="212" spans="5:10" x14ac:dyDescent="0.3">
      <c r="E212" s="2">
        <v>211</v>
      </c>
      <c r="F212" s="53">
        <f t="shared" si="19"/>
        <v>13.709621403548402</v>
      </c>
      <c r="G212" s="53">
        <f t="shared" si="18"/>
        <v>1.0967697122838722</v>
      </c>
      <c r="H212" s="58">
        <f t="shared" si="20"/>
        <v>0.59229596704918352</v>
      </c>
      <c r="I212" s="58">
        <f t="shared" si="21"/>
        <v>0.4798972327480332</v>
      </c>
      <c r="J212" s="53">
        <f t="shared" si="22"/>
        <v>3.4274053508871005</v>
      </c>
    </row>
    <row r="213" spans="5:10" x14ac:dyDescent="0.3">
      <c r="E213" s="2">
        <v>212</v>
      </c>
      <c r="F213" s="53">
        <f t="shared" si="19"/>
        <v>13.651709539216082</v>
      </c>
      <c r="G213" s="53">
        <f t="shared" si="18"/>
        <v>1.0921367631372865</v>
      </c>
      <c r="H213" s="58">
        <f t="shared" si="20"/>
        <v>0.58979400418101458</v>
      </c>
      <c r="I213" s="58">
        <f t="shared" si="21"/>
        <v>0.47787006200288284</v>
      </c>
      <c r="J213" s="53">
        <f t="shared" si="22"/>
        <v>3.4129273848040205</v>
      </c>
    </row>
    <row r="214" spans="5:10" x14ac:dyDescent="0.3">
      <c r="E214" s="2">
        <v>213</v>
      </c>
      <c r="F214" s="53">
        <f t="shared" si="19"/>
        <v>13.594002378193743</v>
      </c>
      <c r="G214" s="53">
        <f t="shared" si="18"/>
        <v>1.0875201902554994</v>
      </c>
      <c r="H214" s="58">
        <f t="shared" si="20"/>
        <v>0.58730088509790535</v>
      </c>
      <c r="I214" s="58">
        <f t="shared" si="21"/>
        <v>0.47585005677668468</v>
      </c>
      <c r="J214" s="53">
        <f t="shared" si="22"/>
        <v>3.3985005945484357</v>
      </c>
    </row>
    <row r="215" spans="5:10" x14ac:dyDescent="0.3">
      <c r="E215" s="2">
        <v>214</v>
      </c>
      <c r="F215" s="53">
        <f t="shared" si="19"/>
        <v>13.536499765882583</v>
      </c>
      <c r="G215" s="53">
        <f t="shared" si="18"/>
        <v>1.0829199812706067</v>
      </c>
      <c r="H215" s="58">
        <f t="shared" si="20"/>
        <v>0.58481660312073291</v>
      </c>
      <c r="I215" s="58">
        <f t="shared" si="21"/>
        <v>0.47383721165779863</v>
      </c>
      <c r="J215" s="53">
        <f t="shared" si="22"/>
        <v>3.3841249414706458</v>
      </c>
    </row>
    <row r="216" spans="5:10" x14ac:dyDescent="0.3">
      <c r="E216" s="2">
        <v>215</v>
      </c>
      <c r="F216" s="53">
        <f t="shared" si="19"/>
        <v>13.479201536624254</v>
      </c>
      <c r="G216" s="53">
        <f t="shared" si="18"/>
        <v>1.0783361229299404</v>
      </c>
      <c r="H216" s="58">
        <f t="shared" si="20"/>
        <v>0.58234115109256945</v>
      </c>
      <c r="I216" s="58">
        <f t="shared" si="21"/>
        <v>0.4718315208474515</v>
      </c>
      <c r="J216" s="53">
        <f t="shared" si="22"/>
        <v>3.3698003841560635</v>
      </c>
    </row>
    <row r="217" spans="5:10" x14ac:dyDescent="0.3">
      <c r="E217" s="2">
        <v>216</v>
      </c>
      <c r="F217" s="53">
        <f t="shared" si="19"/>
        <v>13.422107513966926</v>
      </c>
      <c r="G217" s="53">
        <f t="shared" si="18"/>
        <v>1.0737686011173542</v>
      </c>
      <c r="H217" s="58">
        <f t="shared" si="20"/>
        <v>0.57987452139017681</v>
      </c>
      <c r="I217" s="58">
        <f t="shared" si="21"/>
        <v>0.46983297816905101</v>
      </c>
      <c r="J217" s="53">
        <f t="shared" si="22"/>
        <v>3.3555268784917316</v>
      </c>
    </row>
    <row r="218" spans="5:10" x14ac:dyDescent="0.3">
      <c r="E218" s="2">
        <v>217</v>
      </c>
      <c r="F218" s="53">
        <f t="shared" si="19"/>
        <v>13.36521751092538</v>
      </c>
      <c r="G218" s="53">
        <f t="shared" si="18"/>
        <v>1.0692174008740305</v>
      </c>
      <c r="H218" s="58">
        <f t="shared" si="20"/>
        <v>0.57741670593524363</v>
      </c>
      <c r="I218" s="58">
        <f t="shared" si="21"/>
        <v>0.46784157707728929</v>
      </c>
      <c r="J218" s="53">
        <f t="shared" si="22"/>
        <v>3.3413043777313449</v>
      </c>
    </row>
    <row r="219" spans="5:10" x14ac:dyDescent="0.3">
      <c r="E219" s="2">
        <v>218</v>
      </c>
      <c r="F219" s="53">
        <f t="shared" si="19"/>
        <v>13.308531330235178</v>
      </c>
      <c r="G219" s="53">
        <f t="shared" si="18"/>
        <v>1.0646825064188143</v>
      </c>
      <c r="H219" s="58">
        <f t="shared" si="20"/>
        <v>0.57496769620536603</v>
      </c>
      <c r="I219" s="58">
        <f t="shared" si="21"/>
        <v>0.465857310667041</v>
      </c>
      <c r="J219" s="53">
        <f t="shared" si="22"/>
        <v>3.3271328325587946</v>
      </c>
    </row>
    <row r="220" spans="5:10" x14ac:dyDescent="0.3">
      <c r="E220" s="2">
        <v>219</v>
      </c>
      <c r="F220" s="53">
        <f t="shared" si="19"/>
        <v>13.252048764601117</v>
      </c>
      <c r="G220" s="53">
        <f t="shared" si="18"/>
        <v>1.0601639011680895</v>
      </c>
      <c r="H220" s="58">
        <f t="shared" si="20"/>
        <v>0.57252748324478153</v>
      </c>
      <c r="I220" s="58">
        <f t="shared" si="21"/>
        <v>0.46388017168205925</v>
      </c>
      <c r="J220" s="53">
        <f t="shared" si="22"/>
        <v>3.3130121911502792</v>
      </c>
    </row>
    <row r="221" spans="5:10" x14ac:dyDescent="0.3">
      <c r="E221" s="2">
        <v>220</v>
      </c>
      <c r="F221" s="53">
        <f t="shared" si="19"/>
        <v>13.195769596940107</v>
      </c>
      <c r="G221" s="53">
        <f t="shared" si="18"/>
        <v>1.0556615677552086</v>
      </c>
      <c r="H221" s="58">
        <f t="shared" si="20"/>
        <v>0.57009605767486216</v>
      </c>
      <c r="I221" s="58">
        <f t="shared" si="21"/>
        <v>0.46191015252347839</v>
      </c>
      <c r="J221" s="53">
        <f t="shared" si="22"/>
        <v>3.2989423992350266</v>
      </c>
    </row>
    <row r="222" spans="5:10" x14ac:dyDescent="0.3">
      <c r="E222" s="2">
        <v>221</v>
      </c>
      <c r="F222" s="53">
        <f t="shared" si="19"/>
        <v>13.139693600618603</v>
      </c>
      <c r="G222" s="53">
        <f t="shared" si="18"/>
        <v>1.0511754880494883</v>
      </c>
      <c r="H222" s="58">
        <f t="shared" si="20"/>
        <v>0.5676734097043723</v>
      </c>
      <c r="I222" s="58">
        <f t="shared" si="21"/>
        <v>0.4599472452581243</v>
      </c>
      <c r="J222" s="53">
        <f t="shared" si="22"/>
        <v>3.2849234001546508</v>
      </c>
    </row>
    <row r="223" spans="5:10" x14ac:dyDescent="0.3">
      <c r="E223" s="2">
        <v>222</v>
      </c>
      <c r="F223" s="53">
        <f t="shared" si="19"/>
        <v>13.083820539684719</v>
      </c>
      <c r="G223" s="53">
        <f t="shared" si="18"/>
        <v>1.0467056431747777</v>
      </c>
      <c r="H223" s="58">
        <f t="shared" si="20"/>
        <v>0.5652595291394964</v>
      </c>
      <c r="I223" s="58">
        <f t="shared" si="21"/>
        <v>0.45799144162664013</v>
      </c>
      <c r="J223" s="53">
        <f t="shared" si="22"/>
        <v>3.2709551349211798</v>
      </c>
    </row>
    <row r="224" spans="5:10" x14ac:dyDescent="0.3">
      <c r="E224" s="2">
        <v>223</v>
      </c>
      <c r="F224" s="53">
        <f t="shared" si="19"/>
        <v>13.028150169095237</v>
      </c>
      <c r="G224" s="53">
        <f t="shared" si="18"/>
        <v>1.042252013527619</v>
      </c>
      <c r="H224" s="58">
        <f t="shared" si="20"/>
        <v>0.56285440539364662</v>
      </c>
      <c r="I224" s="58">
        <f t="shared" si="21"/>
        <v>0.45604273305143217</v>
      </c>
      <c r="J224" s="53">
        <f t="shared" si="22"/>
        <v>3.2570375422738094</v>
      </c>
    </row>
    <row r="225" spans="5:10" x14ac:dyDescent="0.3">
      <c r="E225" s="2">
        <v>224</v>
      </c>
      <c r="F225" s="53">
        <f t="shared" si="19"/>
        <v>12.972682234937491</v>
      </c>
      <c r="G225" s="53">
        <f t="shared" si="18"/>
        <v>1.0378145787949993</v>
      </c>
      <c r="H225" s="58">
        <f t="shared" si="20"/>
        <v>0.5604580274970492</v>
      </c>
      <c r="I225" s="58">
        <f t="shared" si="21"/>
        <v>0.45410111064443676</v>
      </c>
      <c r="J225" s="53">
        <f t="shared" si="22"/>
        <v>3.2431705587343727</v>
      </c>
    </row>
    <row r="226" spans="5:10" x14ac:dyDescent="0.3">
      <c r="E226" s="2">
        <v>225</v>
      </c>
      <c r="F226" s="53">
        <f t="shared" si="19"/>
        <v>12.917416474646432</v>
      </c>
      <c r="G226" s="53">
        <f t="shared" si="18"/>
        <v>1.0333933179717145</v>
      </c>
      <c r="H226" s="58">
        <f t="shared" si="20"/>
        <v>0.55807038410612164</v>
      </c>
      <c r="I226" s="58">
        <f t="shared" si="21"/>
        <v>0.45216656521471904</v>
      </c>
      <c r="J226" s="53">
        <f t="shared" si="22"/>
        <v>3.2293541186616079</v>
      </c>
    </row>
    <row r="227" spans="5:10" x14ac:dyDescent="0.3">
      <c r="E227" s="2">
        <v>226</v>
      </c>
      <c r="F227" s="53">
        <f t="shared" si="19"/>
        <v>12.862352617216848</v>
      </c>
      <c r="G227" s="53">
        <f t="shared" si="18"/>
        <v>1.0289882093773479</v>
      </c>
      <c r="H227" s="58">
        <f t="shared" si="20"/>
        <v>0.55569146351264176</v>
      </c>
      <c r="I227" s="58">
        <f t="shared" si="21"/>
        <v>0.45023908727590084</v>
      </c>
      <c r="J227" s="53">
        <f t="shared" si="22"/>
        <v>3.215588154304212</v>
      </c>
    </row>
    <row r="228" spans="5:10" x14ac:dyDescent="0.3">
      <c r="E228" s="2">
        <v>227</v>
      </c>
      <c r="F228" s="53">
        <f t="shared" si="19"/>
        <v>12.807490383410933</v>
      </c>
      <c r="G228" s="53">
        <f t="shared" si="18"/>
        <v>1.0245992306728746</v>
      </c>
      <c r="H228" s="58">
        <f t="shared" si="20"/>
        <v>0.55332125365271501</v>
      </c>
      <c r="I228" s="58">
        <f t="shared" si="21"/>
        <v>0.44831866705342699</v>
      </c>
      <c r="J228" s="53">
        <f t="shared" si="22"/>
        <v>3.2018725958527332</v>
      </c>
    </row>
    <row r="229" spans="5:10" x14ac:dyDescent="0.3">
      <c r="E229" s="2">
        <v>228</v>
      </c>
      <c r="F229" s="53">
        <f t="shared" si="19"/>
        <v>12.752829485961323</v>
      </c>
      <c r="G229" s="53">
        <f t="shared" si="18"/>
        <v>1.0202263588769058</v>
      </c>
      <c r="H229" s="58">
        <f t="shared" si="20"/>
        <v>0.55095974211554644</v>
      </c>
      <c r="I229" s="58">
        <f t="shared" si="21"/>
        <v>0.44640529449167249</v>
      </c>
      <c r="J229" s="53">
        <f t="shared" si="22"/>
        <v>3.1882073714903307</v>
      </c>
    </row>
    <row r="230" spans="5:10" x14ac:dyDescent="0.3">
      <c r="E230" s="2">
        <v>229</v>
      </c>
      <c r="F230" s="53">
        <f t="shared" si="19"/>
        <v>12.698369629769667</v>
      </c>
      <c r="G230" s="53">
        <f t="shared" si="18"/>
        <v>1.0158695703815734</v>
      </c>
      <c r="H230" s="58">
        <f t="shared" si="20"/>
        <v>0.54860691615201929</v>
      </c>
      <c r="I230" s="58">
        <f t="shared" si="21"/>
        <v>0.44449895926089311</v>
      </c>
      <c r="J230" s="53">
        <f t="shared" si="22"/>
        <v>3.1745924074424168</v>
      </c>
    </row>
    <row r="231" spans="5:10" x14ac:dyDescent="0.3">
      <c r="E231" s="2">
        <v>230</v>
      </c>
      <c r="F231" s="53">
        <f t="shared" si="19"/>
        <v>12.644110512100902</v>
      </c>
      <c r="G231" s="53">
        <f t="shared" si="18"/>
        <v>1.0115288409680721</v>
      </c>
      <c r="H231" s="58">
        <f t="shared" si="20"/>
        <v>0.54626276268308838</v>
      </c>
      <c r="I231" s="58">
        <f t="shared" si="21"/>
        <v>0.44259965076402602</v>
      </c>
      <c r="J231" s="53">
        <f t="shared" si="22"/>
        <v>3.1610276280252254</v>
      </c>
    </row>
    <row r="232" spans="5:10" x14ac:dyDescent="0.3">
      <c r="E232" s="2">
        <v>231</v>
      </c>
      <c r="F232" s="53">
        <f t="shared" si="19"/>
        <v>12.590051822773257</v>
      </c>
      <c r="G232" s="53">
        <f t="shared" si="18"/>
        <v>1.0072041458218606</v>
      </c>
      <c r="H232" s="58">
        <f t="shared" si="20"/>
        <v>0.5439272683079891</v>
      </c>
      <c r="I232" s="58">
        <f t="shared" si="21"/>
        <v>0.44070735814334078</v>
      </c>
      <c r="J232" s="53">
        <f t="shared" si="22"/>
        <v>3.1475129556933141</v>
      </c>
    </row>
    <row r="233" spans="5:10" x14ac:dyDescent="0.3">
      <c r="E233" s="2">
        <v>232</v>
      </c>
      <c r="F233" s="53">
        <f t="shared" si="19"/>
        <v>12.536193244344213</v>
      </c>
      <c r="G233" s="53">
        <f t="shared" si="18"/>
        <v>1.002895459547537</v>
      </c>
      <c r="H233" s="58">
        <f t="shared" si="20"/>
        <v>0.54160041931227076</v>
      </c>
      <c r="I233" s="58">
        <f t="shared" si="21"/>
        <v>0.43882207028694886</v>
      </c>
      <c r="J233" s="53">
        <f t="shared" si="22"/>
        <v>3.1340483110860533</v>
      </c>
    </row>
    <row r="234" spans="5:10" x14ac:dyDescent="0.3">
      <c r="E234" s="2">
        <v>233</v>
      </c>
      <c r="F234" s="53">
        <f t="shared" si="19"/>
        <v>12.482534452292358</v>
      </c>
      <c r="G234" s="53">
        <f t="shared" ref="G234:G297" si="23">F234*$B$17</f>
        <v>0.99860275618338867</v>
      </c>
      <c r="H234" s="58">
        <f t="shared" si="20"/>
        <v>0.53928220167565399</v>
      </c>
      <c r="I234" s="58">
        <f t="shared" si="21"/>
        <v>0.43694377583516897</v>
      </c>
      <c r="J234" s="53">
        <f t="shared" si="22"/>
        <v>3.1206336130730894</v>
      </c>
    </row>
    <row r="235" spans="5:10" x14ac:dyDescent="0.3">
      <c r="E235" s="2">
        <v>234</v>
      </c>
      <c r="F235" s="53">
        <f t="shared" si="19"/>
        <v>12.429075115195376</v>
      </c>
      <c r="G235" s="53">
        <f t="shared" si="23"/>
        <v>0.99432600921563008</v>
      </c>
      <c r="H235" s="58">
        <f t="shared" si="20"/>
        <v>0.53697260107972</v>
      </c>
      <c r="I235" s="58">
        <f t="shared" si="21"/>
        <v>0.43507246318675802</v>
      </c>
      <c r="J235" s="53">
        <f t="shared" si="22"/>
        <v>3.107268778798844</v>
      </c>
    </row>
    <row r="236" spans="5:10" x14ac:dyDescent="0.3">
      <c r="E236" s="2">
        <v>235</v>
      </c>
      <c r="F236" s="53">
        <f t="shared" si="19"/>
        <v>12.375814894904206</v>
      </c>
      <c r="G236" s="53">
        <f t="shared" si="23"/>
        <v>0.99006519159233652</v>
      </c>
      <c r="H236" s="58">
        <f t="shared" si="20"/>
        <v>0.5346716029154347</v>
      </c>
      <c r="I236" s="58">
        <f t="shared" si="21"/>
        <v>0.43320812050500701</v>
      </c>
      <c r="J236" s="53">
        <f t="shared" si="22"/>
        <v>3.0939537237260515</v>
      </c>
    </row>
    <row r="237" spans="5:10" x14ac:dyDescent="0.3">
      <c r="E237" s="2">
        <v>236</v>
      </c>
      <c r="F237" s="53">
        <f t="shared" si="19"/>
        <v>12.322753446713437</v>
      </c>
      <c r="G237" s="53">
        <f t="shared" si="23"/>
        <v>0.98582027573707498</v>
      </c>
      <c r="H237" s="58">
        <f t="shared" si="20"/>
        <v>0.53237919229051056</v>
      </c>
      <c r="I237" s="58">
        <f t="shared" si="21"/>
        <v>0.43135073572370564</v>
      </c>
      <c r="J237" s="53">
        <f t="shared" si="22"/>
        <v>3.0806883616783591</v>
      </c>
    </row>
    <row r="238" spans="5:10" x14ac:dyDescent="0.3">
      <c r="E238" s="2">
        <v>237</v>
      </c>
      <c r="F238" s="53">
        <f t="shared" si="19"/>
        <v>12.269890419528084</v>
      </c>
      <c r="G238" s="53">
        <f t="shared" si="23"/>
        <v>0.98159123356224676</v>
      </c>
      <c r="H238" s="58">
        <f t="shared" si="20"/>
        <v>0.53009535403661157</v>
      </c>
      <c r="I238" s="58">
        <f t="shared" si="21"/>
        <v>0.42950029655298072</v>
      </c>
      <c r="J238" s="53">
        <f t="shared" si="22"/>
        <v>3.0674726048820209</v>
      </c>
    </row>
    <row r="239" spans="5:10" x14ac:dyDescent="0.3">
      <c r="E239" s="2">
        <v>238</v>
      </c>
      <c r="F239" s="53">
        <f t="shared" si="19"/>
        <v>12.217225456026799</v>
      </c>
      <c r="G239" s="53">
        <f t="shared" si="23"/>
        <v>0.97737803648214394</v>
      </c>
      <c r="H239" s="58">
        <f t="shared" si="20"/>
        <v>0.52782007271640463</v>
      </c>
      <c r="I239" s="58">
        <f t="shared" si="21"/>
        <v>0.4276567904850086</v>
      </c>
      <c r="J239" s="53">
        <f t="shared" si="22"/>
        <v>3.0543063640066999</v>
      </c>
    </row>
    <row r="240" spans="5:10" x14ac:dyDescent="0.3">
      <c r="E240" s="2">
        <v>239</v>
      </c>
      <c r="F240" s="53">
        <f t="shared" si="19"/>
        <v>12.164758192821608</v>
      </c>
      <c r="G240" s="53">
        <f t="shared" si="23"/>
        <v>0.97318065542572874</v>
      </c>
      <c r="H240" s="58">
        <f t="shared" si="20"/>
        <v>0.52555333263046033</v>
      </c>
      <c r="I240" s="58">
        <f t="shared" si="21"/>
        <v>0.42582020479960692</v>
      </c>
      <c r="J240" s="53">
        <f t="shared" si="22"/>
        <v>3.0411895482054021</v>
      </c>
    </row>
    <row r="241" spans="5:10" x14ac:dyDescent="0.3">
      <c r="E241" s="2">
        <v>240</v>
      </c>
      <c r="F241" s="53">
        <f t="shared" si="19"/>
        <v>12.112488260614239</v>
      </c>
      <c r="G241" s="53">
        <f t="shared" si="23"/>
        <v>0.96899906084913912</v>
      </c>
      <c r="H241" s="58">
        <f t="shared" si="20"/>
        <v>0.52329511782400728</v>
      </c>
      <c r="I241" s="58">
        <f t="shared" si="21"/>
        <v>0.42399052656970682</v>
      </c>
      <c r="J241" s="53">
        <f t="shared" si="22"/>
        <v>3.0281220651535596</v>
      </c>
    </row>
    <row r="242" spans="5:10" x14ac:dyDescent="0.3">
      <c r="E242" s="2">
        <v>241</v>
      </c>
      <c r="F242" s="53">
        <f t="shared" si="19"/>
        <v>12.060415284349162</v>
      </c>
      <c r="G242" s="53">
        <f t="shared" si="23"/>
        <v>0.96483322274793293</v>
      </c>
      <c r="H242" s="58">
        <f t="shared" si="20"/>
        <v>0.52104541209354349</v>
      </c>
      <c r="I242" s="58">
        <f t="shared" si="21"/>
        <v>0.42216774266671031</v>
      </c>
      <c r="J242" s="53">
        <f t="shared" si="22"/>
        <v>3.0151038210872905</v>
      </c>
    </row>
    <row r="243" spans="5:10" x14ac:dyDescent="0.3">
      <c r="E243" s="2">
        <v>242</v>
      </c>
      <c r="F243" s="53">
        <f t="shared" si="19"/>
        <v>12.008538883363384</v>
      </c>
      <c r="G243" s="53">
        <f t="shared" si="23"/>
        <v>0.96068311066907075</v>
      </c>
      <c r="H243" s="58">
        <f t="shared" si="20"/>
        <v>0.51880419899330787</v>
      </c>
      <c r="I243" s="58">
        <f t="shared" si="21"/>
        <v>0.42035183976573315</v>
      </c>
      <c r="J243" s="53">
        <f t="shared" si="22"/>
        <v>3.002134720840846</v>
      </c>
    </row>
    <row r="244" spans="5:10" x14ac:dyDescent="0.3">
      <c r="E244" s="2">
        <v>243</v>
      </c>
      <c r="F244" s="53">
        <f t="shared" si="19"/>
        <v>11.956858671533096</v>
      </c>
      <c r="G244" s="53">
        <f t="shared" si="23"/>
        <v>0.95654869372264772</v>
      </c>
      <c r="H244" s="58">
        <f t="shared" si="20"/>
        <v>0.5165714618416164</v>
      </c>
      <c r="I244" s="58">
        <f t="shared" si="21"/>
        <v>0.41854280435073854</v>
      </c>
      <c r="J244" s="53">
        <f t="shared" si="22"/>
        <v>2.9892146678832741</v>
      </c>
    </row>
    <row r="245" spans="5:10" x14ac:dyDescent="0.3">
      <c r="E245" s="2">
        <v>244</v>
      </c>
      <c r="F245" s="53">
        <f t="shared" si="19"/>
        <v>11.905374257417201</v>
      </c>
      <c r="G245" s="53">
        <f t="shared" si="23"/>
        <v>0.95242994059337605</v>
      </c>
      <c r="H245" s="58">
        <f t="shared" si="20"/>
        <v>0.51434718372706234</v>
      </c>
      <c r="I245" s="58">
        <f t="shared" si="21"/>
        <v>0.41674062271956108</v>
      </c>
      <c r="J245" s="53">
        <f t="shared" si="22"/>
        <v>2.9763435643543001</v>
      </c>
    </row>
    <row r="246" spans="5:10" x14ac:dyDescent="0.3">
      <c r="E246" s="2">
        <v>245</v>
      </c>
      <c r="F246" s="53">
        <f t="shared" si="19"/>
        <v>11.854085244397869</v>
      </c>
      <c r="G246" s="53">
        <f t="shared" si="23"/>
        <v>0.94832681955182951</v>
      </c>
      <c r="H246" s="58">
        <f t="shared" si="20"/>
        <v>0.51213134751458889</v>
      </c>
      <c r="I246" s="58">
        <f t="shared" si="21"/>
        <v>0.41494528098882705</v>
      </c>
      <c r="J246" s="53">
        <f t="shared" si="22"/>
        <v>2.9635213110994671</v>
      </c>
    </row>
    <row r="247" spans="5:10" x14ac:dyDescent="0.3">
      <c r="E247" s="2">
        <v>246</v>
      </c>
      <c r="F247" s="53">
        <f t="shared" si="19"/>
        <v>11.802991230818137</v>
      </c>
      <c r="G247" s="53">
        <f t="shared" si="23"/>
        <v>0.94423929846545096</v>
      </c>
      <c r="H247" s="58">
        <f t="shared" si="20"/>
        <v>0.50992393585143392</v>
      </c>
      <c r="I247" s="58">
        <f t="shared" si="21"/>
        <v>0.41315676509877064</v>
      </c>
      <c r="J247" s="53">
        <f t="shared" si="22"/>
        <v>2.9507478077045342</v>
      </c>
    </row>
    <row r="248" spans="5:10" x14ac:dyDescent="0.3">
      <c r="E248" s="2">
        <v>247</v>
      </c>
      <c r="F248" s="53">
        <f t="shared" si="19"/>
        <v>11.752091810116614</v>
      </c>
      <c r="G248" s="53">
        <f t="shared" si="23"/>
        <v>0.94016734480932918</v>
      </c>
      <c r="H248" s="58">
        <f t="shared" si="20"/>
        <v>0.50772493117294959</v>
      </c>
      <c r="I248" s="58">
        <f t="shared" si="21"/>
        <v>0.41137506081794956</v>
      </c>
      <c r="J248" s="53">
        <f t="shared" si="22"/>
        <v>2.9380229525291535</v>
      </c>
    </row>
    <row r="249" spans="5:10" x14ac:dyDescent="0.3">
      <c r="E249" s="2">
        <v>248</v>
      </c>
      <c r="F249" s="53">
        <f t="shared" si="19"/>
        <v>11.701386570959391</v>
      </c>
      <c r="G249" s="53">
        <f t="shared" si="23"/>
        <v>0.93611092567675136</v>
      </c>
      <c r="H249" s="58">
        <f t="shared" si="20"/>
        <v>0.50553431570830132</v>
      </c>
      <c r="I249" s="58">
        <f t="shared" si="21"/>
        <v>0.40960015374786224</v>
      </c>
      <c r="J249" s="53">
        <f t="shared" si="22"/>
        <v>2.9253466427398478</v>
      </c>
    </row>
    <row r="250" spans="5:10" x14ac:dyDescent="0.3">
      <c r="E250" s="2">
        <v>249</v>
      </c>
      <c r="F250" s="53">
        <f t="shared" si="19"/>
        <v>11.650875097369207</v>
      </c>
      <c r="G250" s="53">
        <f t="shared" si="23"/>
        <v>0.93207000778953653</v>
      </c>
      <c r="H250" s="58">
        <f t="shared" si="20"/>
        <v>0.50335207148604766</v>
      </c>
      <c r="I250" s="58">
        <f t="shared" si="21"/>
        <v>0.40783202932746937</v>
      </c>
      <c r="J250" s="53">
        <f t="shared" si="22"/>
        <v>2.9127187743423018</v>
      </c>
    </row>
    <row r="251" spans="5:10" x14ac:dyDescent="0.3">
      <c r="E251" s="2">
        <v>250</v>
      </c>
      <c r="F251" s="53">
        <f t="shared" si="19"/>
        <v>11.600556968851937</v>
      </c>
      <c r="G251" s="53">
        <f t="shared" si="23"/>
        <v>0.92804455750815495</v>
      </c>
      <c r="H251" s="58">
        <f t="shared" si="20"/>
        <v>0.50117818033960593</v>
      </c>
      <c r="I251" s="58">
        <f t="shared" si="21"/>
        <v>0.40607067283762144</v>
      </c>
      <c r="J251" s="53">
        <f t="shared" si="22"/>
        <v>2.9001392422129841</v>
      </c>
    </row>
    <row r="252" spans="5:10" x14ac:dyDescent="0.3">
      <c r="E252" s="2">
        <v>251</v>
      </c>
      <c r="F252" s="53">
        <f t="shared" si="19"/>
        <v>11.550431760520425</v>
      </c>
      <c r="G252" s="53">
        <f t="shared" si="23"/>
        <v>0.92403454084163406</v>
      </c>
      <c r="H252" s="58">
        <f t="shared" si="20"/>
        <v>0.49901262391260132</v>
      </c>
      <c r="I252" s="58">
        <f t="shared" si="21"/>
        <v>0.40431606940539355</v>
      </c>
      <c r="J252" s="53">
        <f t="shared" si="22"/>
        <v>2.8876079401301062</v>
      </c>
    </row>
    <row r="253" spans="5:10" x14ac:dyDescent="0.3">
      <c r="E253" s="2">
        <v>252</v>
      </c>
      <c r="F253" s="53">
        <f t="shared" si="19"/>
        <v>11.500499043215797</v>
      </c>
      <c r="G253" s="53">
        <f t="shared" si="23"/>
        <v>0.92003992345726371</v>
      </c>
      <c r="H253" s="58">
        <f t="shared" si="20"/>
        <v>0.4968553836641082</v>
      </c>
      <c r="I253" s="58">
        <f t="shared" si="21"/>
        <v>0.40256820400833171</v>
      </c>
      <c r="J253" s="53">
        <f t="shared" si="22"/>
        <v>2.8751247608039492</v>
      </c>
    </row>
    <row r="254" spans="5:10" x14ac:dyDescent="0.3">
      <c r="E254" s="2">
        <v>253</v>
      </c>
      <c r="F254" s="53">
        <f t="shared" si="19"/>
        <v>11.45075838362623</v>
      </c>
      <c r="G254" s="53">
        <f t="shared" si="23"/>
        <v>0.91606067069009844</v>
      </c>
      <c r="H254" s="58">
        <f t="shared" si="20"/>
        <v>0.49470644087378124</v>
      </c>
      <c r="I254" s="58">
        <f t="shared" si="21"/>
        <v>0.40082706147861041</v>
      </c>
      <c r="J254" s="53">
        <f t="shared" si="22"/>
        <v>2.8626895959065575</v>
      </c>
    </row>
    <row r="255" spans="5:10" x14ac:dyDescent="0.3">
      <c r="E255" s="2">
        <v>254</v>
      </c>
      <c r="F255" s="53">
        <f t="shared" si="19"/>
        <v>11.40120934440332</v>
      </c>
      <c r="G255" s="53">
        <f t="shared" si="23"/>
        <v>0.91209674755226555</v>
      </c>
      <c r="H255" s="58">
        <f t="shared" si="20"/>
        <v>0.49256577664688322</v>
      </c>
      <c r="I255" s="58">
        <f t="shared" si="21"/>
        <v>0.39909262650710609</v>
      </c>
      <c r="J255" s="53">
        <f t="shared" si="22"/>
        <v>2.8503023361008299</v>
      </c>
    </row>
    <row r="256" spans="5:10" x14ac:dyDescent="0.3">
      <c r="E256" s="2">
        <v>255</v>
      </c>
      <c r="F256" s="53">
        <f t="shared" si="19"/>
        <v>11.351851484276001</v>
      </c>
      <c r="G256" s="53">
        <f t="shared" si="23"/>
        <v>0.90814811874208001</v>
      </c>
      <c r="H256" s="58">
        <f t="shared" si="20"/>
        <v>0.49043337191920622</v>
      </c>
      <c r="I256" s="58">
        <f t="shared" si="21"/>
        <v>0.3973648836473847</v>
      </c>
      <c r="J256" s="53">
        <f t="shared" si="22"/>
        <v>2.8379628710690001</v>
      </c>
    </row>
    <row r="257" spans="5:10" x14ac:dyDescent="0.3">
      <c r="E257" s="2">
        <v>256</v>
      </c>
      <c r="F257" s="53">
        <f t="shared" si="19"/>
        <v>11.302684358162148</v>
      </c>
      <c r="G257" s="53">
        <f t="shared" si="23"/>
        <v>0.90421474865297191</v>
      </c>
      <c r="H257" s="58">
        <f t="shared" si="20"/>
        <v>0.48830920746189327</v>
      </c>
      <c r="I257" s="58">
        <f t="shared" si="21"/>
        <v>0.39564381731960813</v>
      </c>
      <c r="J257" s="53">
        <f t="shared" si="22"/>
        <v>2.825671089540537</v>
      </c>
    </row>
    <row r="258" spans="5:10" x14ac:dyDescent="0.3">
      <c r="E258" s="2">
        <v>257</v>
      </c>
      <c r="F258" s="53">
        <f t="shared" si="19"/>
        <v>11.253707517277904</v>
      </c>
      <c r="G258" s="53">
        <f t="shared" si="23"/>
        <v>0.90029660138223233</v>
      </c>
      <c r="H258" s="58">
        <f t="shared" si="20"/>
        <v>0.48619326388616196</v>
      </c>
      <c r="I258" s="58">
        <f t="shared" si="21"/>
        <v>0.39392941181436164</v>
      </c>
      <c r="J258" s="53">
        <f t="shared" si="22"/>
        <v>2.8134268793194761</v>
      </c>
    </row>
    <row r="259" spans="5:10" x14ac:dyDescent="0.3">
      <c r="E259" s="2">
        <v>258</v>
      </c>
      <c r="F259" s="53">
        <f t="shared" ref="F259:F306" si="24">$B$4*E259^$B$5*EXP(-$B$6*E259)</f>
        <v>11.204920509244745</v>
      </c>
      <c r="G259" s="53">
        <f t="shared" si="23"/>
        <v>0.89639364073957961</v>
      </c>
      <c r="H259" s="58">
        <f t="shared" ref="H259:H306" si="25">F259*$B$19/100</f>
        <v>0.48408552164792945</v>
      </c>
      <c r="I259" s="58">
        <f t="shared" ref="I259:I306" si="26">F259*$B$20/100</f>
        <v>0.39222165129640091</v>
      </c>
      <c r="J259" s="53">
        <f t="shared" si="22"/>
        <v>2.8012301273111864</v>
      </c>
    </row>
    <row r="260" spans="5:10" x14ac:dyDescent="0.3">
      <c r="E260" s="2">
        <v>259</v>
      </c>
      <c r="F260" s="53">
        <f t="shared" si="24"/>
        <v>11.156322878194374</v>
      </c>
      <c r="G260" s="53">
        <f t="shared" si="23"/>
        <v>0.89250583025554986</v>
      </c>
      <c r="H260" s="58">
        <f t="shared" si="25"/>
        <v>0.48198596105234437</v>
      </c>
      <c r="I260" s="58">
        <f t="shared" si="26"/>
        <v>0.39052051980832447</v>
      </c>
      <c r="J260" s="53">
        <f t="shared" si="22"/>
        <v>2.7890807195485934</v>
      </c>
    </row>
    <row r="261" spans="5:10" x14ac:dyDescent="0.3">
      <c r="E261" s="2">
        <v>260</v>
      </c>
      <c r="F261" s="53">
        <f t="shared" si="24"/>
        <v>11.107914164871467</v>
      </c>
      <c r="G261" s="53">
        <f t="shared" si="23"/>
        <v>0.88863313318971737</v>
      </c>
      <c r="H261" s="58">
        <f t="shared" si="25"/>
        <v>0.47989456225822624</v>
      </c>
      <c r="I261" s="58">
        <f t="shared" si="26"/>
        <v>0.38882600127416977</v>
      </c>
      <c r="J261" s="53">
        <f t="shared" si="22"/>
        <v>2.7769785412178667</v>
      </c>
    </row>
    <row r="262" spans="5:10" x14ac:dyDescent="0.3">
      <c r="E262" s="2">
        <v>261</v>
      </c>
      <c r="F262" s="53">
        <f t="shared" si="24"/>
        <v>11.059693906734305</v>
      </c>
      <c r="G262" s="53">
        <f t="shared" si="23"/>
        <v>0.88477551253874442</v>
      </c>
      <c r="H262" s="58">
        <f t="shared" si="25"/>
        <v>0.47781130528241211</v>
      </c>
      <c r="I262" s="58">
        <f t="shared" si="26"/>
        <v>0.38713807950293616</v>
      </c>
      <c r="J262" s="53">
        <f t="shared" si="22"/>
        <v>2.7649234766835762</v>
      </c>
    </row>
    <row r="263" spans="5:10" x14ac:dyDescent="0.3">
      <c r="E263" s="2">
        <v>262</v>
      </c>
      <c r="F263" s="53">
        <f t="shared" si="24"/>
        <v>11.011661638053406</v>
      </c>
      <c r="G263" s="53">
        <f t="shared" si="23"/>
        <v>0.8809329310442725</v>
      </c>
      <c r="H263" s="58">
        <f t="shared" si="25"/>
        <v>0.47573617000401891</v>
      </c>
      <c r="I263" s="58">
        <f t="shared" si="26"/>
        <v>0.38545673819203702</v>
      </c>
      <c r="J263" s="53">
        <f t="shared" si="22"/>
        <v>2.7529154095133515</v>
      </c>
    </row>
    <row r="264" spans="5:10" x14ac:dyDescent="0.3">
      <c r="E264" s="2">
        <v>263</v>
      </c>
      <c r="F264" s="53">
        <f t="shared" si="24"/>
        <v>10.963816890008108</v>
      </c>
      <c r="G264" s="53">
        <f t="shared" si="23"/>
        <v>0.87710535120064859</v>
      </c>
      <c r="H264" s="58">
        <f t="shared" si="25"/>
        <v>0.47366913616861483</v>
      </c>
      <c r="I264" s="58">
        <f t="shared" si="26"/>
        <v>0.38378196093068079</v>
      </c>
      <c r="J264" s="53">
        <f t="shared" si="22"/>
        <v>2.7409542225020269</v>
      </c>
    </row>
    <row r="265" spans="5:10" x14ac:dyDescent="0.3">
      <c r="E265" s="2">
        <v>264</v>
      </c>
      <c r="F265" s="53">
        <f t="shared" si="24"/>
        <v>10.916159190781206</v>
      </c>
      <c r="G265" s="53">
        <f t="shared" si="23"/>
        <v>0.87329273526249651</v>
      </c>
      <c r="H265" s="58">
        <f t="shared" si="25"/>
        <v>0.47161018339230909</v>
      </c>
      <c r="I265" s="58">
        <f t="shared" si="26"/>
        <v>0.38211373120318387</v>
      </c>
      <c r="J265" s="53">
        <f t="shared" si="22"/>
        <v>2.7290397976953016</v>
      </c>
    </row>
    <row r="266" spans="5:10" x14ac:dyDescent="0.3">
      <c r="E266" s="2">
        <v>265</v>
      </c>
      <c r="F266" s="53">
        <f t="shared" si="24"/>
        <v>10.868688065651682</v>
      </c>
      <c r="G266" s="53">
        <f t="shared" si="23"/>
        <v>0.86949504525213461</v>
      </c>
      <c r="H266" s="58">
        <f t="shared" si="25"/>
        <v>0.46955929116575734</v>
      </c>
      <c r="I266" s="58">
        <f t="shared" si="26"/>
        <v>0.38045203239221609</v>
      </c>
      <c r="J266" s="53">
        <f t="shared" si="22"/>
        <v>2.7171720164129205</v>
      </c>
    </row>
    <row r="267" spans="5:10" x14ac:dyDescent="0.3">
      <c r="E267" s="2">
        <v>266</v>
      </c>
      <c r="F267" s="53">
        <f t="shared" si="24"/>
        <v>10.821403037085553</v>
      </c>
      <c r="G267" s="53">
        <f t="shared" si="23"/>
        <v>0.86571224296684424</v>
      </c>
      <c r="H267" s="58">
        <f t="shared" si="25"/>
        <v>0.46751643885808714</v>
      </c>
      <c r="I267" s="58">
        <f t="shared" si="26"/>
        <v>0.37879684778198142</v>
      </c>
      <c r="J267" s="53">
        <f t="shared" ref="J267:J306" si="27">F267/$B$26</f>
        <v>2.7053507592713881</v>
      </c>
    </row>
    <row r="268" spans="5:10" x14ac:dyDescent="0.3">
      <c r="E268" s="2">
        <v>267</v>
      </c>
      <c r="F268" s="53">
        <f t="shared" si="24"/>
        <v>10.774303624824872</v>
      </c>
      <c r="G268" s="53">
        <f t="shared" si="23"/>
        <v>0.86194428998598982</v>
      </c>
      <c r="H268" s="58">
        <f t="shared" si="25"/>
        <v>0.4654816057207426</v>
      </c>
      <c r="I268" s="58">
        <f t="shared" si="26"/>
        <v>0.37714816056133293</v>
      </c>
      <c r="J268" s="53">
        <f t="shared" si="27"/>
        <v>2.6935759062062181</v>
      </c>
    </row>
    <row r="269" spans="5:10" x14ac:dyDescent="0.3">
      <c r="E269" s="2">
        <v>268</v>
      </c>
      <c r="F269" s="53">
        <f t="shared" si="24"/>
        <v>10.727389345974929</v>
      </c>
      <c r="G269" s="53">
        <f t="shared" si="23"/>
        <v>0.85819114767799431</v>
      </c>
      <c r="H269" s="58">
        <f t="shared" si="25"/>
        <v>0.46345477089125198</v>
      </c>
      <c r="I269" s="58">
        <f t="shared" si="26"/>
        <v>0.37550595382682522</v>
      </c>
      <c r="J269" s="53">
        <f t="shared" si="27"/>
        <v>2.6818473364937323</v>
      </c>
    </row>
    <row r="270" spans="5:10" x14ac:dyDescent="0.3">
      <c r="E270" s="2">
        <v>269</v>
      </c>
      <c r="F270" s="53">
        <f t="shared" si="24"/>
        <v>10.680659715089739</v>
      </c>
      <c r="G270" s="53">
        <f t="shared" si="23"/>
        <v>0.85445277720717916</v>
      </c>
      <c r="H270" s="58">
        <f t="shared" si="25"/>
        <v>0.46143591339692092</v>
      </c>
      <c r="I270" s="58">
        <f t="shared" si="26"/>
        <v>0.3738702105857073</v>
      </c>
      <c r="J270" s="53">
        <f t="shared" si="27"/>
        <v>2.6701649287724347</v>
      </c>
    </row>
    <row r="271" spans="5:10" x14ac:dyDescent="0.3">
      <c r="E271" s="2">
        <v>270</v>
      </c>
      <c r="F271" s="53">
        <f t="shared" si="24"/>
        <v>10.634114244255732</v>
      </c>
      <c r="G271" s="53">
        <f t="shared" si="23"/>
        <v>0.85072913954045859</v>
      </c>
      <c r="H271" s="58">
        <f t="shared" si="25"/>
        <v>0.45942501215844822</v>
      </c>
      <c r="I271" s="58">
        <f t="shared" si="26"/>
        <v>0.37224091375885165</v>
      </c>
      <c r="J271" s="53">
        <f t="shared" si="27"/>
        <v>2.6585285610639331</v>
      </c>
    </row>
    <row r="272" spans="5:10" x14ac:dyDescent="0.3">
      <c r="E272" s="2">
        <v>271</v>
      </c>
      <c r="F272" s="53">
        <f t="shared" si="24"/>
        <v>10.587752443173834</v>
      </c>
      <c r="G272" s="53">
        <f t="shared" si="23"/>
        <v>0.84702019545390672</v>
      </c>
      <c r="H272" s="58">
        <f t="shared" si="25"/>
        <v>0.45742204599347169</v>
      </c>
      <c r="I272" s="58">
        <f t="shared" si="26"/>
        <v>0.37061804618362748</v>
      </c>
      <c r="J272" s="53">
        <f t="shared" si="27"/>
        <v>2.6469381107934584</v>
      </c>
    </row>
    <row r="273" spans="5:10" x14ac:dyDescent="0.3">
      <c r="E273" s="2">
        <v>272</v>
      </c>
      <c r="F273" s="53">
        <f t="shared" si="24"/>
        <v>10.541573819239851</v>
      </c>
      <c r="G273" s="53">
        <f t="shared" si="23"/>
        <v>0.84332590553918807</v>
      </c>
      <c r="H273" s="58">
        <f t="shared" si="25"/>
        <v>0.45542699362004152</v>
      </c>
      <c r="I273" s="58">
        <f t="shared" si="26"/>
        <v>0.36900159061671489</v>
      </c>
      <c r="J273" s="53">
        <f t="shared" si="27"/>
        <v>2.6353934548099627</v>
      </c>
    </row>
    <row r="274" spans="5:10" x14ac:dyDescent="0.3">
      <c r="E274" s="2">
        <v>273</v>
      </c>
      <c r="F274" s="53">
        <f t="shared" si="24"/>
        <v>10.495577877623253</v>
      </c>
      <c r="G274" s="53">
        <f t="shared" si="23"/>
        <v>0.83964623020986029</v>
      </c>
      <c r="H274" s="58">
        <f t="shared" si="25"/>
        <v>0.45343983366002327</v>
      </c>
      <c r="I274" s="58">
        <f t="shared" si="26"/>
        <v>0.36739152973686212</v>
      </c>
      <c r="J274" s="53">
        <f t="shared" si="27"/>
        <v>2.6238944694058133</v>
      </c>
    </row>
    <row r="275" spans="5:10" x14ac:dyDescent="0.3">
      <c r="E275" s="2">
        <v>274</v>
      </c>
      <c r="F275" s="53">
        <f t="shared" si="24"/>
        <v>10.449764121344385</v>
      </c>
      <c r="G275" s="53">
        <f t="shared" si="23"/>
        <v>0.83598112970755079</v>
      </c>
      <c r="H275" s="58">
        <f t="shared" si="25"/>
        <v>0.45146054464243413</v>
      </c>
      <c r="I275" s="58">
        <f t="shared" si="26"/>
        <v>0.36578784614758875</v>
      </c>
      <c r="J275" s="53">
        <f t="shared" si="27"/>
        <v>2.6124410303360963</v>
      </c>
    </row>
    <row r="276" spans="5:10" x14ac:dyDescent="0.3">
      <c r="E276" s="2">
        <v>275</v>
      </c>
      <c r="F276" s="53">
        <f t="shared" si="24"/>
        <v>10.404132051350121</v>
      </c>
      <c r="G276" s="53">
        <f t="shared" si="23"/>
        <v>0.83233056410800976</v>
      </c>
      <c r="H276" s="58">
        <f t="shared" si="25"/>
        <v>0.44948910500671141</v>
      </c>
      <c r="I276" s="58">
        <f t="shared" si="26"/>
        <v>0.36419052237983363</v>
      </c>
      <c r="J276" s="53">
        <f t="shared" si="27"/>
        <v>2.6010330128375303</v>
      </c>
    </row>
    <row r="277" spans="5:10" x14ac:dyDescent="0.3">
      <c r="E277" s="2">
        <v>276</v>
      </c>
      <c r="F277" s="53">
        <f t="shared" si="24"/>
        <v>10.358681166587996</v>
      </c>
      <c r="G277" s="53">
        <f t="shared" si="23"/>
        <v>0.82869449332703971</v>
      </c>
      <c r="H277" s="58">
        <f t="shared" si="25"/>
        <v>0.44752549310591472</v>
      </c>
      <c r="I277" s="58">
        <f t="shared" si="26"/>
        <v>0.36259954089454999</v>
      </c>
      <c r="J277" s="53">
        <f t="shared" si="27"/>
        <v>2.5896702916469989</v>
      </c>
    </row>
    <row r="278" spans="5:10" x14ac:dyDescent="0.3">
      <c r="E278" s="2">
        <v>277</v>
      </c>
      <c r="F278" s="53">
        <f t="shared" si="24"/>
        <v>10.313410964078891</v>
      </c>
      <c r="G278" s="53">
        <f t="shared" si="23"/>
        <v>0.82507287712631128</v>
      </c>
      <c r="H278" s="58">
        <f t="shared" si="25"/>
        <v>0.44556968720986695</v>
      </c>
      <c r="I278" s="58">
        <f t="shared" si="26"/>
        <v>0.36101488408524962</v>
      </c>
      <c r="J278" s="53">
        <f t="shared" si="27"/>
        <v>2.5783527410197227</v>
      </c>
    </row>
    <row r="279" spans="5:10" x14ac:dyDescent="0.3">
      <c r="E279" s="2">
        <v>278</v>
      </c>
      <c r="F279" s="53">
        <f t="shared" si="24"/>
        <v>10.268320938988202</v>
      </c>
      <c r="G279" s="53">
        <f t="shared" si="23"/>
        <v>0.82146567511905622</v>
      </c>
      <c r="H279" s="58">
        <f t="shared" si="25"/>
        <v>0.44362166550822835</v>
      </c>
      <c r="I279" s="58">
        <f t="shared" si="26"/>
        <v>0.35943653428049432</v>
      </c>
      <c r="J279" s="53">
        <f t="shared" si="27"/>
        <v>2.5670802347470505</v>
      </c>
    </row>
    <row r="280" spans="5:10" x14ac:dyDescent="0.3">
      <c r="E280" s="2">
        <v>279</v>
      </c>
      <c r="F280" s="53">
        <f t="shared" si="24"/>
        <v>10.22341058469566</v>
      </c>
      <c r="G280" s="53">
        <f t="shared" si="23"/>
        <v>0.81787284677565286</v>
      </c>
      <c r="H280" s="58">
        <f t="shared" si="25"/>
        <v>0.4416814061135132</v>
      </c>
      <c r="I280" s="58">
        <f t="shared" si="26"/>
        <v>0.35786447374633928</v>
      </c>
      <c r="J280" s="53">
        <f t="shared" si="27"/>
        <v>2.5558526461739151</v>
      </c>
    </row>
    <row r="281" spans="5:10" x14ac:dyDescent="0.3">
      <c r="E281" s="2">
        <v>280</v>
      </c>
      <c r="F281" s="53">
        <f t="shared" si="24"/>
        <v>10.178679392863698</v>
      </c>
      <c r="G281" s="53">
        <f t="shared" si="23"/>
        <v>0.8142943514290959</v>
      </c>
      <c r="H281" s="58">
        <f t="shared" si="25"/>
        <v>0.43974888706404353</v>
      </c>
      <c r="I281" s="58">
        <f t="shared" si="26"/>
        <v>0.35629868468872727</v>
      </c>
      <c r="J281" s="53">
        <f t="shared" si="27"/>
        <v>2.5446698482159245</v>
      </c>
    </row>
    <row r="282" spans="5:10" x14ac:dyDescent="0.3">
      <c r="E282" s="2">
        <v>281</v>
      </c>
      <c r="F282" s="53">
        <f t="shared" si="24"/>
        <v>10.134126853504489</v>
      </c>
      <c r="G282" s="53">
        <f t="shared" si="23"/>
        <v>0.81073014828035905</v>
      </c>
      <c r="H282" s="58">
        <f t="shared" si="25"/>
        <v>0.43782408632684522</v>
      </c>
      <c r="I282" s="58">
        <f t="shared" si="26"/>
        <v>0.35473914925583422</v>
      </c>
      <c r="J282" s="53">
        <f t="shared" si="27"/>
        <v>2.5335317133761222</v>
      </c>
    </row>
    <row r="283" spans="5:10" x14ac:dyDescent="0.3">
      <c r="E283" s="2">
        <v>282</v>
      </c>
      <c r="F283" s="53">
        <f t="shared" si="24"/>
        <v>10.089752455045623</v>
      </c>
      <c r="G283" s="53">
        <f t="shared" si="23"/>
        <v>0.80718019640364991</v>
      </c>
      <c r="H283" s="58">
        <f t="shared" si="25"/>
        <v>0.43590698180048554</v>
      </c>
      <c r="I283" s="58">
        <f t="shared" si="26"/>
        <v>0.35318584954036902</v>
      </c>
      <c r="J283" s="53">
        <f t="shared" si="27"/>
        <v>2.5224381137614058</v>
      </c>
    </row>
    <row r="284" spans="5:10" x14ac:dyDescent="0.3">
      <c r="E284" s="2">
        <v>283</v>
      </c>
      <c r="F284" s="53">
        <f t="shared" si="24"/>
        <v>10.045555684394508</v>
      </c>
      <c r="G284" s="53">
        <f t="shared" si="23"/>
        <v>0.80364445475156066</v>
      </c>
      <c r="H284" s="58">
        <f t="shared" si="25"/>
        <v>0.43399755131785545</v>
      </c>
      <c r="I284" s="58">
        <f t="shared" si="26"/>
        <v>0.35163876758182711</v>
      </c>
      <c r="J284" s="53">
        <f t="shared" si="27"/>
        <v>2.5113889210986269</v>
      </c>
    </row>
    <row r="285" spans="5:10" x14ac:dyDescent="0.3">
      <c r="E285" s="2">
        <v>284</v>
      </c>
      <c r="F285" s="53">
        <f t="shared" si="24"/>
        <v>10.001536027001452</v>
      </c>
      <c r="G285" s="53">
        <f t="shared" si="23"/>
        <v>0.80012288216011618</v>
      </c>
      <c r="H285" s="58">
        <f t="shared" si="25"/>
        <v>0.43209577264889487</v>
      </c>
      <c r="I285" s="58">
        <f t="shared" si="26"/>
        <v>0.35009788536869929</v>
      </c>
      <c r="J285" s="53">
        <f t="shared" si="27"/>
        <v>2.5003840067503629</v>
      </c>
    </row>
    <row r="286" spans="5:10" x14ac:dyDescent="0.3">
      <c r="E286" s="2">
        <v>285</v>
      </c>
      <c r="F286" s="53">
        <f t="shared" si="24"/>
        <v>9.9576929669215026</v>
      </c>
      <c r="G286" s="53">
        <f t="shared" si="23"/>
        <v>0.7966154373537202</v>
      </c>
      <c r="H286" s="58">
        <f t="shared" si="25"/>
        <v>0.43020162350326435</v>
      </c>
      <c r="I286" s="58">
        <f t="shared" si="26"/>
        <v>0.34856318484063598</v>
      </c>
      <c r="J286" s="53">
        <f t="shared" si="27"/>
        <v>2.4894232417303757</v>
      </c>
    </row>
    <row r="287" spans="5:10" x14ac:dyDescent="0.3">
      <c r="E287" s="2">
        <v>286</v>
      </c>
      <c r="F287" s="53">
        <f t="shared" si="24"/>
        <v>9.9140259868750746</v>
      </c>
      <c r="G287" s="53">
        <f t="shared" si="23"/>
        <v>0.79312207895000597</v>
      </c>
      <c r="H287" s="58">
        <f t="shared" si="25"/>
        <v>0.42831508153296449</v>
      </c>
      <c r="I287" s="58">
        <f t="shared" si="26"/>
        <v>0.34703464789056965</v>
      </c>
      <c r="J287" s="53">
        <f t="shared" si="27"/>
        <v>2.4785064967187687</v>
      </c>
    </row>
    <row r="288" spans="5:10" x14ac:dyDescent="0.3">
      <c r="E288" s="2">
        <v>287</v>
      </c>
      <c r="F288" s="53">
        <f t="shared" si="24"/>
        <v>9.87053456830734</v>
      </c>
      <c r="G288" s="53">
        <f t="shared" si="23"/>
        <v>0.78964276546458723</v>
      </c>
      <c r="H288" s="58">
        <f t="shared" si="25"/>
        <v>0.42643612433490136</v>
      </c>
      <c r="I288" s="58">
        <f t="shared" si="26"/>
        <v>0.3455122563667935</v>
      </c>
      <c r="J288" s="53">
        <f t="shared" si="27"/>
        <v>2.467633642076835</v>
      </c>
    </row>
    <row r="289" spans="5:10" x14ac:dyDescent="0.3">
      <c r="E289" s="2">
        <v>288</v>
      </c>
      <c r="F289" s="53">
        <f t="shared" si="24"/>
        <v>9.8272181914464571</v>
      </c>
      <c r="G289" s="53">
        <f t="shared" si="23"/>
        <v>0.78617745531571659</v>
      </c>
      <c r="H289" s="58">
        <f t="shared" si="25"/>
        <v>0.42456472945340279</v>
      </c>
      <c r="I289" s="58">
        <f t="shared" si="26"/>
        <v>0.34399599207499998</v>
      </c>
      <c r="J289" s="53">
        <f t="shared" si="27"/>
        <v>2.4568045478616143</v>
      </c>
    </row>
    <row r="290" spans="5:10" x14ac:dyDescent="0.3">
      <c r="E290" s="2">
        <v>289</v>
      </c>
      <c r="F290" s="53">
        <f t="shared" si="24"/>
        <v>9.7840763353606324</v>
      </c>
      <c r="G290" s="53">
        <f t="shared" si="23"/>
        <v>0.78272610682885058</v>
      </c>
      <c r="H290" s="58">
        <f t="shared" si="25"/>
        <v>0.42270087438268311</v>
      </c>
      <c r="I290" s="58">
        <f t="shared" si="26"/>
        <v>0.34248583678027805</v>
      </c>
      <c r="J290" s="53">
        <f t="shared" si="27"/>
        <v>2.4460190838401581</v>
      </c>
    </row>
    <row r="291" spans="5:10" x14ac:dyDescent="0.3">
      <c r="E291" s="2">
        <v>290</v>
      </c>
      <c r="F291" s="53">
        <f t="shared" si="24"/>
        <v>9.741108478014068</v>
      </c>
      <c r="G291" s="53">
        <f t="shared" si="23"/>
        <v>0.77928867824112547</v>
      </c>
      <c r="H291" s="58">
        <f t="shared" si="25"/>
        <v>0.42084453656926057</v>
      </c>
      <c r="I291" s="58">
        <f t="shared" si="26"/>
        <v>0.34098177220907178</v>
      </c>
      <c r="J291" s="53">
        <f t="shared" si="27"/>
        <v>2.435277119503517</v>
      </c>
    </row>
    <row r="292" spans="5:10" x14ac:dyDescent="0.3">
      <c r="E292" s="2">
        <v>291</v>
      </c>
      <c r="F292" s="53">
        <f t="shared" si="24"/>
        <v>9.6983140963217558</v>
      </c>
      <c r="G292" s="53">
        <f t="shared" si="23"/>
        <v>0.77586512770574045</v>
      </c>
      <c r="H292" s="58">
        <f t="shared" si="25"/>
        <v>0.41899569341432419</v>
      </c>
      <c r="I292" s="58">
        <f t="shared" si="26"/>
        <v>0.33948378005109808</v>
      </c>
      <c r="J292" s="53">
        <f t="shared" si="27"/>
        <v>2.4245785240804389</v>
      </c>
    </row>
    <row r="293" spans="5:10" x14ac:dyDescent="0.3">
      <c r="E293" s="2">
        <v>292</v>
      </c>
      <c r="F293" s="53">
        <f t="shared" si="24"/>
        <v>9.6556926662032243</v>
      </c>
      <c r="G293" s="53">
        <f t="shared" si="23"/>
        <v>0.772455413296258</v>
      </c>
      <c r="H293" s="58">
        <f t="shared" si="25"/>
        <v>0.4171543222760562</v>
      </c>
      <c r="I293" s="58">
        <f t="shared" si="26"/>
        <v>0.33799184196122839</v>
      </c>
      <c r="J293" s="53">
        <f t="shared" si="27"/>
        <v>2.4139231665508061</v>
      </c>
    </row>
    <row r="294" spans="5:10" x14ac:dyDescent="0.3">
      <c r="E294" s="2">
        <v>293</v>
      </c>
      <c r="F294" s="53">
        <f t="shared" si="24"/>
        <v>9.6132436626351936</v>
      </c>
      <c r="G294" s="53">
        <f t="shared" si="23"/>
        <v>0.76905949301081555</v>
      </c>
      <c r="H294" s="58">
        <f t="shared" si="25"/>
        <v>0.41532040047190677</v>
      </c>
      <c r="I294" s="58">
        <f t="shared" si="26"/>
        <v>0.33650593956133157</v>
      </c>
      <c r="J294" s="53">
        <f t="shared" si="27"/>
        <v>2.4033109156587984</v>
      </c>
    </row>
    <row r="295" spans="5:10" x14ac:dyDescent="0.3">
      <c r="E295" s="2">
        <v>294</v>
      </c>
      <c r="F295" s="53">
        <f t="shared" si="24"/>
        <v>9.5709665597031979</v>
      </c>
      <c r="G295" s="53">
        <f t="shared" si="23"/>
        <v>0.76567732477625583</v>
      </c>
      <c r="H295" s="58">
        <f t="shared" si="25"/>
        <v>0.41349390528082419</v>
      </c>
      <c r="I295" s="58">
        <f t="shared" si="26"/>
        <v>0.33502605444208117</v>
      </c>
      <c r="J295" s="53">
        <f t="shared" si="27"/>
        <v>2.3927416399257995</v>
      </c>
    </row>
    <row r="296" spans="5:10" x14ac:dyDescent="0.3">
      <c r="E296" s="2">
        <v>295</v>
      </c>
      <c r="F296" s="53">
        <f t="shared" si="24"/>
        <v>9.5288608306521709</v>
      </c>
      <c r="G296" s="53">
        <f t="shared" si="23"/>
        <v>0.76230886645217366</v>
      </c>
      <c r="H296" s="58">
        <f t="shared" si="25"/>
        <v>0.41167481394544025</v>
      </c>
      <c r="I296" s="58">
        <f t="shared" si="26"/>
        <v>0.33355216816472583</v>
      </c>
      <c r="J296" s="53">
        <f t="shared" si="27"/>
        <v>2.3822152076630427</v>
      </c>
    </row>
    <row r="297" spans="5:10" x14ac:dyDescent="0.3">
      <c r="E297" s="2">
        <v>296</v>
      </c>
      <c r="F297" s="53">
        <f t="shared" si="24"/>
        <v>9.4869259479360117</v>
      </c>
      <c r="G297" s="53">
        <f t="shared" si="23"/>
        <v>0.75895407583488095</v>
      </c>
      <c r="H297" s="58">
        <f t="shared" si="25"/>
        <v>0.4098631036742118</v>
      </c>
      <c r="I297" s="58">
        <f t="shared" si="26"/>
        <v>0.33208426226282478</v>
      </c>
      <c r="J297" s="53">
        <f t="shared" si="27"/>
        <v>2.3717314869840029</v>
      </c>
    </row>
    <row r="298" spans="5:10" x14ac:dyDescent="0.3">
      <c r="E298" s="2">
        <v>297</v>
      </c>
      <c r="F298" s="53">
        <f t="shared" si="24"/>
        <v>9.4451613832662211</v>
      </c>
      <c r="G298" s="53">
        <f t="shared" ref="G298:G306" si="28">F298*$B$17</f>
        <v>0.75561291066129765</v>
      </c>
      <c r="H298" s="58">
        <f t="shared" si="25"/>
        <v>0.40805875164352196</v>
      </c>
      <c r="I298" s="58">
        <f t="shared" si="26"/>
        <v>0.33062231824394972</v>
      </c>
      <c r="J298" s="53">
        <f t="shared" si="27"/>
        <v>2.3612903458165553</v>
      </c>
    </row>
    <row r="299" spans="5:10" x14ac:dyDescent="0.3">
      <c r="E299" s="2">
        <v>298</v>
      </c>
      <c r="F299" s="53">
        <f t="shared" si="24"/>
        <v>9.4035666076594939</v>
      </c>
      <c r="G299" s="53">
        <f t="shared" si="28"/>
        <v>0.75228532861275954</v>
      </c>
      <c r="H299" s="58">
        <f t="shared" si="25"/>
        <v>0.40626173499973606</v>
      </c>
      <c r="I299" s="58">
        <f t="shared" si="26"/>
        <v>0.32916631759135129</v>
      </c>
      <c r="J299" s="53">
        <f t="shared" si="27"/>
        <v>2.3508916519148735</v>
      </c>
    </row>
    <row r="300" spans="5:10" x14ac:dyDescent="0.3">
      <c r="E300" s="2">
        <v>299</v>
      </c>
      <c r="F300" s="53">
        <f t="shared" si="24"/>
        <v>9.3621410914844159</v>
      </c>
      <c r="G300" s="53">
        <f t="shared" si="28"/>
        <v>0.74897128731875329</v>
      </c>
      <c r="H300" s="58">
        <f t="shared" si="25"/>
        <v>0.40447203086121919</v>
      </c>
      <c r="I300" s="58">
        <f t="shared" si="26"/>
        <v>0.32771624176559333</v>
      </c>
      <c r="J300" s="53">
        <f t="shared" si="27"/>
        <v>2.340535272871104</v>
      </c>
    </row>
    <row r="301" spans="5:10" x14ac:dyDescent="0.3">
      <c r="E301" s="2">
        <v>300</v>
      </c>
      <c r="F301" s="53">
        <f t="shared" si="24"/>
        <v>9.3208843045072296</v>
      </c>
      <c r="G301" s="53">
        <f t="shared" si="28"/>
        <v>0.74567074436057834</v>
      </c>
      <c r="H301" s="58">
        <f t="shared" si="25"/>
        <v>0.40268961632031364</v>
      </c>
      <c r="I301" s="58">
        <f t="shared" si="26"/>
        <v>0.32627207220615517</v>
      </c>
      <c r="J301" s="53">
        <f t="shared" si="27"/>
        <v>2.3302210761268074</v>
      </c>
    </row>
    <row r="302" spans="5:10" x14ac:dyDescent="0.3">
      <c r="E302" s="2">
        <v>301</v>
      </c>
      <c r="F302" s="53">
        <f t="shared" si="24"/>
        <v>9.2797957159366664</v>
      </c>
      <c r="G302" s="53">
        <f t="shared" si="28"/>
        <v>0.74238365727493327</v>
      </c>
      <c r="H302" s="58">
        <f t="shared" si="25"/>
        <v>0.4009144684452754</v>
      </c>
      <c r="I302" s="58">
        <f t="shared" si="26"/>
        <v>0.32483379033300058</v>
      </c>
      <c r="J302" s="53">
        <f t="shared" si="27"/>
        <v>2.3199489289841666</v>
      </c>
    </row>
    <row r="303" spans="5:10" x14ac:dyDescent="0.3">
      <c r="E303" s="2">
        <v>302</v>
      </c>
      <c r="F303" s="53">
        <f t="shared" si="24"/>
        <v>9.2388747944678951</v>
      </c>
      <c r="G303" s="53">
        <f t="shared" si="28"/>
        <v>0.73910998355743163</v>
      </c>
      <c r="H303" s="58">
        <f t="shared" si="25"/>
        <v>0.39914656428217316</v>
      </c>
      <c r="I303" s="58">
        <f t="shared" si="26"/>
        <v>0.3234013775481166</v>
      </c>
      <c r="J303" s="53">
        <f t="shared" si="27"/>
        <v>2.3097186986169738</v>
      </c>
    </row>
    <row r="304" spans="5:10" x14ac:dyDescent="0.3">
      <c r="E304" s="2">
        <v>303</v>
      </c>
      <c r="F304" s="53">
        <f t="shared" si="24"/>
        <v>9.1981210083255966</v>
      </c>
      <c r="G304" s="53">
        <f t="shared" si="28"/>
        <v>0.73584968066604772</v>
      </c>
      <c r="H304" s="58">
        <f t="shared" si="25"/>
        <v>0.39738588085674892</v>
      </c>
      <c r="I304" s="58">
        <f t="shared" si="26"/>
        <v>0.32197481523702082</v>
      </c>
      <c r="J304" s="53">
        <f t="shared" si="27"/>
        <v>2.2995302520813992</v>
      </c>
    </row>
    <row r="305" spans="5:10" x14ac:dyDescent="0.3">
      <c r="E305" s="2">
        <v>304</v>
      </c>
      <c r="F305" s="53">
        <f t="shared" si="24"/>
        <v>9.1575338253061886</v>
      </c>
      <c r="G305" s="53">
        <f t="shared" si="28"/>
        <v>0.73260270602449507</v>
      </c>
      <c r="H305" s="58">
        <f t="shared" si="25"/>
        <v>0.39563239517624282</v>
      </c>
      <c r="I305" s="58">
        <f t="shared" si="26"/>
        <v>0.32055408477023994</v>
      </c>
      <c r="J305" s="53">
        <f t="shared" si="27"/>
        <v>2.2893834563265472</v>
      </c>
    </row>
    <row r="306" spans="5:10" x14ac:dyDescent="0.3">
      <c r="E306" s="2">
        <v>305</v>
      </c>
      <c r="F306" s="53">
        <f t="shared" si="24"/>
        <v>9.1171127128191802</v>
      </c>
      <c r="G306" s="53">
        <f t="shared" si="28"/>
        <v>0.72936901702553447</v>
      </c>
      <c r="H306" s="58">
        <f t="shared" si="25"/>
        <v>0.3938860842311791</v>
      </c>
      <c r="I306" s="58">
        <f t="shared" si="26"/>
        <v>0.31913916750475724</v>
      </c>
      <c r="J306" s="53">
        <f t="shared" si="27"/>
        <v>2.2792781782047951</v>
      </c>
    </row>
  </sheetData>
  <mergeCells count="3">
    <mergeCell ref="A13:B13"/>
    <mergeCell ref="A22:B22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9"/>
  <sheetViews>
    <sheetView topLeftCell="E1" zoomScaleNormal="100" workbookViewId="0">
      <selection activeCell="E15" sqref="E15"/>
    </sheetView>
  </sheetViews>
  <sheetFormatPr baseColWidth="10" defaultColWidth="22" defaultRowHeight="14.25" customHeight="1" x14ac:dyDescent="0.3"/>
  <cols>
    <col min="1" max="1" width="2.6640625" customWidth="1"/>
    <col min="7" max="7" width="23.44140625" customWidth="1"/>
  </cols>
  <sheetData>
    <row r="1" spans="2:8" ht="14.4" x14ac:dyDescent="0.3"/>
    <row r="2" spans="2:8" ht="14.25" customHeight="1" x14ac:dyDescent="0.3">
      <c r="B2" s="10" t="s">
        <v>147</v>
      </c>
      <c r="C2" s="10" t="s">
        <v>148</v>
      </c>
      <c r="D2" s="10" t="s">
        <v>149</v>
      </c>
      <c r="E2" s="10" t="s">
        <v>150</v>
      </c>
      <c r="F2" s="10" t="s">
        <v>151</v>
      </c>
      <c r="G2" s="10" t="s">
        <v>127</v>
      </c>
      <c r="H2" s="10" t="s">
        <v>152</v>
      </c>
    </row>
    <row r="3" spans="2:8" ht="14.25" customHeight="1" x14ac:dyDescent="0.3">
      <c r="B3" t="s">
        <v>153</v>
      </c>
      <c r="C3" t="s">
        <v>154</v>
      </c>
      <c r="D3" t="s">
        <v>155</v>
      </c>
      <c r="E3" s="11">
        <v>1</v>
      </c>
      <c r="F3" t="s">
        <v>156</v>
      </c>
      <c r="G3" t="s">
        <v>133</v>
      </c>
      <c r="H3" t="s">
        <v>157</v>
      </c>
    </row>
    <row r="4" spans="2:8" ht="14.25" customHeight="1" x14ac:dyDescent="0.3">
      <c r="B4" t="s">
        <v>158</v>
      </c>
      <c r="C4" t="s">
        <v>159</v>
      </c>
      <c r="D4" t="s">
        <v>160</v>
      </c>
      <c r="E4" s="11">
        <v>2</v>
      </c>
      <c r="F4" t="s">
        <v>161</v>
      </c>
      <c r="G4" t="s">
        <v>130</v>
      </c>
      <c r="H4" t="s">
        <v>162</v>
      </c>
    </row>
    <row r="5" spans="2:8" ht="14.25" customHeight="1" x14ac:dyDescent="0.3">
      <c r="B5" t="s">
        <v>19</v>
      </c>
      <c r="C5" t="s">
        <v>90</v>
      </c>
      <c r="D5" t="s">
        <v>163</v>
      </c>
      <c r="E5" s="11">
        <v>3</v>
      </c>
      <c r="G5" t="s">
        <v>164</v>
      </c>
      <c r="H5" t="s">
        <v>165</v>
      </c>
    </row>
    <row r="6" spans="2:8" ht="14.25" customHeight="1" x14ac:dyDescent="0.3">
      <c r="B6" t="s">
        <v>166</v>
      </c>
      <c r="C6" t="s">
        <v>20</v>
      </c>
      <c r="D6" t="s">
        <v>167</v>
      </c>
      <c r="E6" s="11">
        <v>4</v>
      </c>
      <c r="G6" t="s">
        <v>168</v>
      </c>
      <c r="H6" t="s">
        <v>169</v>
      </c>
    </row>
    <row r="7" spans="2:8" ht="14.25" customHeight="1" x14ac:dyDescent="0.3">
      <c r="B7" t="s">
        <v>170</v>
      </c>
      <c r="C7" t="s">
        <v>171</v>
      </c>
      <c r="D7" t="s">
        <v>172</v>
      </c>
      <c r="E7" s="11">
        <v>5</v>
      </c>
      <c r="H7" t="s">
        <v>173</v>
      </c>
    </row>
    <row r="8" spans="2:8" ht="14.25" customHeight="1" x14ac:dyDescent="0.3">
      <c r="C8" t="s">
        <v>174</v>
      </c>
      <c r="D8" t="s">
        <v>175</v>
      </c>
      <c r="E8" s="11">
        <v>6</v>
      </c>
    </row>
    <row r="9" spans="2:8" ht="14.25" customHeight="1" x14ac:dyDescent="0.3">
      <c r="E9" s="11" t="s">
        <v>176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Monte Carlo</vt:lpstr>
      <vt:lpstr>1. Demografía</vt:lpstr>
      <vt:lpstr>2. Producción</vt:lpstr>
      <vt:lpstr>3. Reproducción</vt:lpstr>
      <vt:lpstr>4. Salud y Mastitis</vt:lpstr>
      <vt:lpstr>Parámetros base</vt:lpstr>
      <vt:lpstr>Variables salida</vt:lpstr>
      <vt:lpstr>Curva 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Ospina</dc:creator>
  <dc:description/>
  <cp:lastModifiedBy>Juan Pablo Ospina</cp:lastModifiedBy>
  <cp:revision>0</cp:revision>
  <dcterms:created xsi:type="dcterms:W3CDTF">2026-05-16T18:44:28Z</dcterms:created>
  <dcterms:modified xsi:type="dcterms:W3CDTF">2026-05-26T04:00:00Z</dcterms:modified>
  <dc:language>en-US</dc:language>
</cp:coreProperties>
</file>